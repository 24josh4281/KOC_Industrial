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00d82eefd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23655a36b0304c1a"/>
    <x:sheet xmlns:r="http://schemas.openxmlformats.org/officeDocument/2006/relationships" name="분석조건" sheetId="2" r:id="R388a3d9d35cc42b5"/>
    <x:sheet xmlns:r="http://schemas.openxmlformats.org/officeDocument/2006/relationships" name="통계" sheetId="3" r:id="R1d643a6984774956"/>
    <x:sheet xmlns:r="http://schemas.openxmlformats.org/officeDocument/2006/relationships" name="방법론" sheetId="4" r:id="R29a05fbdf42c4466"/>
    <x:sheet xmlns:r="http://schemas.openxmlformats.org/officeDocument/2006/relationships" name="버전" sheetId="5" r:id="Rcee196e714af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"/>
    <x:numFmt numFmtId="202" formatCode="@"/>
    <x:numFmt numFmtId="203" formatCode="0.0%"/>
  </x:numFmts>
  <x:fonts count="15">
    <x:font>
      <x:sz val="11"/>
      <x:name val="Carlito"/>
    </x:font>
    <x:font>
      <x:sz val="10"/>
      <x:color rgb="FF475569"/>
      <x:name val="Malgun Gothic"/>
    </x:font>
    <x:font>
      <x:b/>
      <x:sz val="16"/>
      <x:color rgb="FF0B1739"/>
      <x:name val="Malgun Gothic"/>
    </x:font>
    <x:font>
      <x:sz val="10"/>
      <x:color rgb="FF64748B"/>
      <x:name val="Malgun Gothic"/>
    </x:font>
    <x:font>
      <x:b/>
      <x:sz val="12"/>
      <x:color rgb="FF0B1739"/>
      <x:name val="Malgun Gothic"/>
    </x:font>
    <x:font>
      <x:b/>
      <x:sz val="10"/>
      <x:color rgb="FFFFFFFF"/>
      <x:name val="Malgun Gothic"/>
    </x:font>
    <x:font>
      <x:b/>
      <x:sz val="20"/>
      <x:color rgb="FF0B1739"/>
      <x:name val="Malgun Gothic"/>
    </x:font>
    <x:font>
      <x:sz val="10"/>
      <x:color rgb="FF2F62F0"/>
      <x:name val="Malgun Gothic"/>
    </x:font>
    <x:font>
      <x:sz val="10"/>
      <x:color rgb="FFC8D5F8"/>
      <x:name val="Malgun Gothic"/>
    </x:font>
    <x:font>
      <x:b/>
      <x:sz val="26"/>
      <x:color rgb="FFFFFFFF"/>
      <x:name val="Malgun Gothic"/>
    </x:font>
    <x:font>
      <x:sz val="9"/>
      <x:color rgb="FFC8D5F8"/>
      <x:name val="Malgun Gothic"/>
    </x:font>
    <x:font>
      <x:sz val="9"/>
      <x:color rgb="FF64748B"/>
      <x:name val="Malgun Gothic"/>
    </x:font>
    <x:font>
      <x:sz val="10"/>
      <x:color rgb="FF475569"/>
      <x:name val="Malgun Gothic"/>
    </x:font>
    <x:font>
      <x:b/>
      <x:sz val="20"/>
      <x:color rgb="FF2F62F0"/>
      <x:name val="Malgun Gothic"/>
    </x:font>
    <x:font>
      <x:b/>
      <x:sz val="12"/>
      <x:color rgb="FF64748B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FFF5D6"/>
      </x:patternFill>
    </x:fill>
    <x:fill>
      <x:patternFill patternType="solid">
        <x:fgColor rgb="FF0B1739"/>
      </x:patternFill>
    </x:fill>
    <x:fill>
      <x:patternFill patternType="solid">
        <x:fgColor rgb="FFF1F4F9"/>
      </x:patternFill>
    </x:fill>
    <x:fill>
      <x:patternFill patternType="solid">
        <x:fgColor rgb="FFF6F8FC"/>
      </x:patternFill>
    </x:fill>
    <x:fill>
      <x:patternFill patternType="solid">
        <x:fgColor rgb="FFEE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3" fontId="1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0cc6829ea4177" /><Relationship Type="http://schemas.openxmlformats.org/officeDocument/2006/relationships/theme" Target="/xl/theme/theme1.xml" Id="R5c1d190defd64873" /><Relationship Type="http://schemas.openxmlformats.org/officeDocument/2006/relationships/sharedStrings" Target="/xl/sharedStrings.xml" Id="R1a777c66581b4016" /><Relationship Type="http://schemas.openxmlformats.org/officeDocument/2006/relationships/worksheet" Target="/xl/worksheets/sheet1.xml" Id="R23655a36b0304c1a" /><Relationship Type="http://schemas.openxmlformats.org/officeDocument/2006/relationships/worksheet" Target="/xl/worksheets/sheet2.xml" Id="R388a3d9d35cc42b5" /><Relationship Type="http://schemas.openxmlformats.org/officeDocument/2006/relationships/worksheet" Target="/xl/worksheets/sheet3.xml" Id="R1d643a6984774956" /><Relationship Type="http://schemas.openxmlformats.org/officeDocument/2006/relationships/worksheet" Target="/xl/worksheets/sheet4.xml" Id="R29a05fbdf42c4466" /><Relationship Type="http://schemas.openxmlformats.org/officeDocument/2006/relationships/worksheet" Target="/xl/worksheets/sheet5.xml" Id="Rcee196e714af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13304715f14da3" /><Relationship Type="http://schemas.openxmlformats.org/officeDocument/2006/relationships/chart" Target="/xl/drawings/charts/chart2.xml" Id="R461f24c9f06a4e1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최초 버전</c:v>
          </c:tx>
          <c:spPr>
            <a:solidFill xmlns:a="http://schemas.openxmlformats.org/drawingml/2006/main">
              <a:srgbClr val="2F62F0"/>
            </a:solidFill>
          </c:spPr>
          <c:invertIfNegative val="0"/>
          <c:cat>
            <c:strRef>
              <c:f>'통계'!$D$7:$D$18</c:f>
              <c:strCache>
                <c:ptCount val="0"/>
              </c:strCache>
            </c:strRef>
          </c:cat>
          <c:val>
            <c:numRef>
              <c:f>'통계'!$E$7:$E$18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개정 버전</c:v>
          </c:tx>
          <c:spPr>
            <a:solidFill xmlns:a="http://schemas.openxmlformats.org/drawingml/2006/main">
              <a:srgbClr val="7B9BF7"/>
            </a:solidFill>
          </c:spPr>
          <c:invertIfNegative val="0"/>
          <c:cat>
            <c:strRef>
              <c:f>'통계'!$D$7:$D$18</c:f>
              <c:strCache>
                <c:ptCount val="0"/>
              </c:strCache>
            </c:strRef>
          </c:cat>
          <c:val>
            <c:numRef>
              <c:f>'통계'!$F$7:$F$18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방법론</c:v>
          </c:tx>
          <c:spPr>
            <a:solidFill xmlns:a="http://schemas.openxmlformats.org/drawingml/2006/main">
              <a:srgbClr val="2F62F0"/>
            </a:solidFill>
          </c:spPr>
          <c:invertIfNegative val="0"/>
          <c:cat>
            <c:strRef>
              <c:f>'통계'!$M$7:$M$9</c:f>
              <c:strCache>
                <c:ptCount val="0"/>
              </c:strCache>
            </c:strRef>
          </c:cat>
          <c:val>
            <c:numRef>
              <c:f>'통계'!$N$7:$N$9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13304715f14da3"/>
        </a:graphicData>
      </a:graphic>
    </xdr:graphicFrame>
    <xdr:clientData/>
  </xdr:twoCellAnchor>
  <xdr:twoCellAnchor>
    <xdr:from>
      <xdr:col>13</xdr:col>
      <xdr:colOff>0</xdr:colOff>
      <xdr:row>13</xdr:row>
      <xdr:rowOff>0</xdr:rowOff>
    </xdr:from>
    <xdr:to>
      <xdr:col>23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f24c9f06a4e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Methods" displayName="PublicMethods" ref="A6:M39" headerRowCount="1" totalsRowCount="0" totalsRowShown="0">
  <x:tableColumns count="13">
    <x:tableColumn id="1" name="코드"/>
    <x:tableColumn id="2" name="방법론명"/>
    <x:tableColumn id="3" name="분야 원문"/>
    <x:tableColumn id="4" name="등록형태"/>
    <x:tableColumn id="5" name="공개 출처"/>
    <x:tableColumn id="6" name="최신 유효시작일"/>
    <x:tableColumn id="7" name="최신 버전"/>
    <x:tableColumn id="8" name="최초 버전 유효시작일"/>
    <x:tableColumn id="9" name="개정 이력 수"/>
    <x:tableColumn id="10" name="확인 버전 수"/>
    <x:tableColumn id="11" name="최신 버전 경과일"/>
    <x:tableColumn id="12" name="포함"/>
    <x:tableColumn id="13" name="장기 관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Versions" displayName="PublicVersions" ref="A6:O46" headerRowCount="1" totalsRowCount="0" totalsRowShown="0">
  <x:tableColumns count="15">
    <x:tableColumn id="1" name="버전 ID"/>
    <x:tableColumn id="2" name="방법론 코드"/>
    <x:tableColumn id="3" name="버전"/>
    <x:tableColumn id="4" name="구분"/>
    <x:tableColumn id="5" name="유효시작일"/>
    <x:tableColumn id="6" name="방법론명"/>
    <x:tableColumn id="7" name="공개 출처"/>
    <x:tableColumn id="8" name="버전 번호"/>
    <x:tableColumn id="9" name="상한일 이내"/>
    <x:tableColumn id="10" name="방법론 포함"/>
    <x:tableColumn id="11" name="포함"/>
    <x:tableColumn id="12" name="유효시작 연도"/>
    <x:tableColumn id="13" name="최근 변경"/>
    <x:tableColumn id="14" name="선택연도 동기간"/>
    <x:tableColumn id="15" name="전년 동기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5e1bf99c3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d3f2e8e120e42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296d10ecd2f42b3" /></Relationships>
</file>

<file path=xl/worksheets/sheet1.xml><?xml version="1.0" encoding="utf-8"?>
<x:worksheet xmlns:x="http://schemas.openxmlformats.org/spreadsheetml/2006/main">
  <x:sheetPr>
    <x:tabColor rgb="FF0B1739"/>
  </x:sheetPr>
  <x:sheetViews>
    <x:sheetView showGridLines="0" workbookViewId="0"/>
  </x:sheetViews>
  <x:sheetFormatPr defaultRowHeight="15"/>
  <x:cols>
    <x:col min="1" max="1" width="3" hidden="0" customWidth="1"/>
    <x:col min="2" max="2" width="5.880000114440918" hidden="0" customWidth="1"/>
    <x:col min="3" max="3" width="5.880000114440918" hidden="0" customWidth="1"/>
    <x:col min="4" max="4" width="5.880000114440918" hidden="0" customWidth="1"/>
    <x:col min="5" max="5" width="5.880000114440918" hidden="0" customWidth="1"/>
    <x:col min="6" max="6" width="5.880000114440918" hidden="0" customWidth="1"/>
    <x:col min="7" max="7" width="5.880000114440918" hidden="0" customWidth="1"/>
    <x:col min="8" max="8" width="5.880000114440918" hidden="0" customWidth="1"/>
    <x:col min="9" max="9" width="5.880000114440918" hidden="0" customWidth="1"/>
    <x:col min="10" max="10" width="5.880000114440918" hidden="0" customWidth="1"/>
    <x:col min="11" max="11" width="5.880000114440918" hidden="0" customWidth="1"/>
    <x:col min="12" max="12" width="5.880000114440918" hidden="0" customWidth="1"/>
    <x:col min="13" max="13" width="5.880000114440918" hidden="0" customWidth="1"/>
    <x:col min="14" max="14" width="5.880000114440918" hidden="0" customWidth="1"/>
    <x:col min="15" max="15" width="5.880000114440918" hidden="0" customWidth="1"/>
    <x:col min="16" max="16" width="5.880000114440918" hidden="0" customWidth="1"/>
    <x:col min="17" max="17" width="5.880000114440918" hidden="0" customWidth="1"/>
    <x:col min="18" max="18" width="5.880000114440918" hidden="0" customWidth="1"/>
    <x:col min="19" max="19" width="5.880000114440918" hidden="0" customWidth="1"/>
    <x:col min="20" max="20" width="5.880000114440918" hidden="0" customWidth="1"/>
    <x:col min="21" max="21" width="5.880000114440918" hidden="0" customWidth="1"/>
    <x:col min="22" max="22" width="5.880000114440918" hidden="0" customWidth="1"/>
    <x:col min="23" max="23" width="5.880000114440918" hidden="0" customWidth="1"/>
    <x:col min="24" max="24" width="3" hidden="0" customWidth="1"/>
  </x:cols>
  <x:sheetData>
    <x:row r="1" ht="24" customHeight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</x:row>
    <x:row r="2" ht="38" customHeight="1">
      <x:c r="A2" s="25"/>
      <x:c r="B2" s="26" t="str">
        <x:v>방법론의 흐름과 변화를 확인하세요.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5"/>
    </x:row>
    <x:row r="3" ht="24" customHeight="1">
      <x:c r="A3" s="25"/>
      <x:c r="B3" s="27" t="str">
        <x:v>ORS 공개 실자료  ·  2026-10-14 확인  ·  선택한 33개 코드의 확인분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5"/>
    </x:row>
    <x:row r="4" ht="24" customHeight="1">
      <x:c r="A4" s="25"/>
      <x:c r="B4" s="28" t="str">
        <x:f>"분야: "&amp;'분석조건'!B7&amp;"   /   비교연도: "&amp;'분석조건'!B6&amp;"   /   조건 변경: 분석조건 시트"</x:f>
        <x:v>분야: all   /   비교연도: 2026   /   조건 변경: 분석조건 시트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5"/>
    </x:row>
    <x:row r="5" ht="24" customHeight="1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</x:row>
    <x:row r="6" ht="24" customHeight="1">
      <x:c r="A6" s="25"/>
      <x:c r="B6" s="29" t="str">
        <x:v>공개 방법론</x:v>
      </x:c>
      <x:c r="C6" s="29"/>
      <x:c r="D6" s="29"/>
      <x:c r="E6" s="9"/>
      <x:c r="F6" s="29" t="str">
        <x:v>공개 버전</x:v>
      </x:c>
      <x:c r="G6" s="29"/>
      <x:c r="H6" s="29"/>
      <x:c r="I6" s="9"/>
      <x:c r="J6" s="29" t="str">
        <x:v>개정 경험</x:v>
      </x:c>
      <x:c r="K6" s="29"/>
      <x:c r="L6" s="29"/>
      <x:c r="M6" s="9"/>
      <x:c r="N6" s="29" t="str">
        <x:v>연간 최초</x:v>
      </x:c>
      <x:c r="O6" s="29"/>
      <x:c r="P6" s="29"/>
      <x:c r="Q6" s="9"/>
      <x:c r="R6" s="29" t="str">
        <x:v>연간 개정</x:v>
      </x:c>
      <x:c r="S6" s="29"/>
      <x:c r="T6" s="29"/>
      <x:c r="U6" s="9"/>
      <x:c r="V6" s="29" t="str">
        <x:v>최근 변경</x:v>
      </x:c>
      <x:c r="W6" s="29"/>
      <x:c r="X6" s="25"/>
    </x:row>
    <x:row r="7" ht="24" customHeight="1">
      <x:c r="A7" s="25"/>
      <x:c r="B7" s="32" t="n">
        <x:f>'통계'!B7</x:f>
        <x:v>33</x:v>
      </x:c>
      <x:c r="C7" s="32"/>
      <x:c r="D7" s="32"/>
      <x:c r="E7" s="33"/>
      <x:c r="F7" s="32" t="n">
        <x:f>'통계'!B8</x:f>
        <x:v>40</x:v>
      </x:c>
      <x:c r="G7" s="32"/>
      <x:c r="H7" s="32"/>
      <x:c r="I7" s="33"/>
      <x:c r="J7" s="32" t="n">
        <x:f>'통계'!B9</x:f>
        <x:v>6</x:v>
      </x:c>
      <x:c r="K7" s="32"/>
      <x:c r="L7" s="32"/>
      <x:c r="M7" s="33"/>
      <x:c r="N7" s="32" t="n">
        <x:f>'통계'!B10</x:f>
        <x:v>0</x:v>
      </x:c>
      <x:c r="O7" s="32"/>
      <x:c r="P7" s="32"/>
      <x:c r="Q7" s="33"/>
      <x:c r="R7" s="32" t="n">
        <x:f>'통계'!B11</x:f>
        <x:v>2</x:v>
      </x:c>
      <x:c r="S7" s="32"/>
      <x:c r="T7" s="32"/>
      <x:c r="U7" s="33"/>
      <x:c r="V7" s="32" t="n">
        <x:f>'통계'!B12</x:f>
        <x:v>4</x:v>
      </x:c>
      <x:c r="W7" s="32"/>
      <x:c r="X7" s="25"/>
    </x:row>
    <x:row r="8" ht="24" customHeight="1">
      <x:c r="A8" s="25"/>
      <x:c r="B8" s="32"/>
      <x:c r="C8" s="32"/>
      <x:c r="D8" s="32"/>
      <x:c r="E8" s="33"/>
      <x:c r="F8" s="32"/>
      <x:c r="G8" s="32"/>
      <x:c r="H8" s="32"/>
      <x:c r="I8" s="33"/>
      <x:c r="J8" s="32"/>
      <x:c r="K8" s="32"/>
      <x:c r="L8" s="32"/>
      <x:c r="M8" s="33"/>
      <x:c r="N8" s="32"/>
      <x:c r="O8" s="32"/>
      <x:c r="P8" s="32"/>
      <x:c r="Q8" s="33"/>
      <x:c r="R8" s="32"/>
      <x:c r="S8" s="32"/>
      <x:c r="T8" s="32"/>
      <x:c r="U8" s="33"/>
      <x:c r="V8" s="32"/>
      <x:c r="W8" s="32"/>
      <x:c r="X8" s="25"/>
    </x:row>
    <x:row r="9" ht="24" customHeight="1">
      <x:c r="A9" s="25"/>
      <x:c r="B9" s="31" t="str">
        <x:v>방법론</x:v>
      </x:c>
      <x:c r="C9" s="31"/>
      <x:c r="D9" s="31"/>
      <x:c r="E9" s="9"/>
      <x:c r="F9" s="31" t="str">
        <x:v>버전</x:v>
      </x:c>
      <x:c r="G9" s="31"/>
      <x:c r="H9" s="31"/>
      <x:c r="I9" s="9"/>
      <x:c r="J9" s="31" t="str">
        <x:v>방법론</x:v>
      </x:c>
      <x:c r="K9" s="31"/>
      <x:c r="L9" s="31"/>
      <x:c r="M9" s="9"/>
      <x:c r="N9" s="31" t="str">
        <x:v>버전</x:v>
      </x:c>
      <x:c r="O9" s="31"/>
      <x:c r="P9" s="31"/>
      <x:c r="Q9" s="9"/>
      <x:c r="R9" s="31" t="str">
        <x:v>버전</x:v>
      </x:c>
      <x:c r="S9" s="31"/>
      <x:c r="T9" s="31"/>
      <x:c r="U9" s="9"/>
      <x:c r="V9" s="31" t="str">
        <x:v>버전</x:v>
      </x:c>
      <x:c r="W9" s="31"/>
      <x:c r="X9" s="25"/>
    </x:row>
    <x:row r="10" ht="24" customHeight="1">
      <x:c r="A10" s="25"/>
      <x:c r="B10" s="31"/>
      <x:c r="C10" s="31"/>
      <x:c r="D10" s="31"/>
      <x:c r="E10" s="9"/>
      <x:c r="F10" s="31"/>
      <x:c r="G10" s="31"/>
      <x:c r="H10" s="31"/>
      <x:c r="I10" s="9"/>
      <x:c r="J10" s="31"/>
      <x:c r="K10" s="31"/>
      <x:c r="L10" s="31"/>
      <x:c r="M10" s="9"/>
      <x:c r="N10" s="31"/>
      <x:c r="O10" s="31"/>
      <x:c r="P10" s="31"/>
      <x:c r="Q10" s="9"/>
      <x:c r="R10" s="31"/>
      <x:c r="S10" s="31"/>
      <x:c r="T10" s="31"/>
      <x:c r="U10" s="9"/>
      <x:c r="V10" s="31"/>
      <x:c r="W10" s="31"/>
      <x:c r="X10" s="25"/>
    </x:row>
    <x:row r="11" ht="24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</x:row>
    <x:row r="12" ht="24" customHeight="1">
      <x:c r="A12" s="25"/>
      <x:c r="B12" s="34" t="str">
        <x:v>연도별 최초·개정 버전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25"/>
      <x:c r="N12" s="34" t="str">
        <x:v>최신 버전 경과일 분포</x:v>
      </x:c>
      <x:c r="O12" s="34"/>
      <x:c r="P12" s="34"/>
      <x:c r="Q12" s="34"/>
      <x:c r="R12" s="34"/>
      <x:c r="S12" s="34"/>
      <x:c r="T12" s="34"/>
      <x:c r="U12" s="34"/>
      <x:c r="V12" s="34"/>
      <x:c r="W12" s="34"/>
      <x:c r="X12" s="25"/>
    </x:row>
    <x:row r="13" ht="24" customHeight="1">
      <x:c r="A13" s="25"/>
      <x:c r="B13" s="35" t="str">
        <x:v>유효시작일 기준 · 등록일 기준 아님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25"/>
      <x:c r="N13" s="35" t="str">
        <x:v>경과일은 효력·법정기한 판단이 아닙니다.</x:v>
      </x:c>
      <x:c r="O13" s="35"/>
      <x:c r="P13" s="35"/>
      <x:c r="Q13" s="35"/>
      <x:c r="R13" s="35"/>
      <x:c r="S13" s="35"/>
      <x:c r="T13" s="35"/>
      <x:c r="U13" s="35"/>
      <x:c r="V13" s="35"/>
      <x:c r="W13" s="35"/>
      <x:c r="X13" s="25"/>
    </x:row>
    <x:row r="14" ht="24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</x:row>
    <x:row r="15" ht="24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</x:row>
    <x:row r="16" ht="24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</x:row>
    <x:row r="17" ht="24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</x:row>
    <x:row r="18" ht="24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</x:row>
    <x:row r="19" ht="24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</x:row>
    <x:row r="20" ht="24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</x:row>
    <x:row r="21" ht="24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</x:row>
    <x:row r="22" ht="24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</x:row>
    <x:row r="23" ht="24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</x:row>
    <x:row r="24" ht="24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</x:row>
    <x:row r="25" ht="24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</x:row>
    <x:row r="26" ht="24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</x:row>
    <x:row r="27" ht="24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</x:row>
    <x:row r="28" ht="24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</x:row>
    <x:row r="29" ht="24" customHeight="1">
      <x:c r="A29" s="25"/>
      <x:c r="B29" s="34" t="str">
        <x:v>전년 동기간 비교</x:v>
      </x:c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25"/>
      <x:c r="N29" s="34" t="str">
        <x:v>개정 경험·장기 관찰</x:v>
      </x:c>
      <x:c r="O29" s="34"/>
      <x:c r="P29" s="34"/>
      <x:c r="Q29" s="34"/>
      <x:c r="R29" s="34"/>
      <x:c r="S29" s="34"/>
      <x:c r="T29" s="34"/>
      <x:c r="U29" s="34"/>
      <x:c r="V29" s="34"/>
      <x:c r="W29" s="34"/>
      <x:c r="X29" s="25"/>
    </x:row>
    <x:row r="30" ht="24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</x:row>
    <x:row r="31" ht="24" customHeight="1">
      <x:c r="A31" s="25"/>
      <x:c r="B31" s="36" t="str">
        <x:v>선택연도 버전</x:v>
      </x:c>
      <x:c r="C31" s="36"/>
      <x:c r="D31" s="36"/>
      <x:c r="E31" s="36"/>
      <x:c r="F31" s="36"/>
      <x:c r="G31" s="37" t="n">
        <x:f>'통계'!B15</x:f>
        <x:v>2</x:v>
      </x:c>
      <x:c r="H31" s="37"/>
      <x:c r="I31" s="37"/>
      <x:c r="J31" s="37"/>
      <x:c r="K31" s="37"/>
      <x:c r="L31" s="25"/>
      <x:c r="M31" s="25"/>
      <x:c r="N31" s="36" t="str">
        <x:v>개정 경험 비중</x:v>
      </x:c>
      <x:c r="O31" s="36"/>
      <x:c r="P31" s="36"/>
      <x:c r="Q31" s="36"/>
      <x:c r="R31" s="36"/>
      <x:c r="S31" s="38" t="n">
        <x:f>'통계'!B14</x:f>
        <x:v>0.18181818181818182</x:v>
      </x:c>
      <x:c r="T31" s="38"/>
      <x:c r="U31" s="38"/>
      <x:c r="V31" s="38"/>
      <x:c r="W31" s="38"/>
      <x:c r="X31" s="25"/>
    </x:row>
    <x:row r="32" ht="24" customHeight="1">
      <x:c r="A32" s="25"/>
      <x:c r="B32" s="25"/>
      <x:c r="C32" s="25"/>
      <x:c r="D32" s="25"/>
      <x:c r="E32" s="25"/>
      <x:c r="F32" s="25"/>
      <x:c r="G32" s="37"/>
      <x:c r="H32" s="37"/>
      <x:c r="I32" s="37"/>
      <x:c r="J32" s="37"/>
      <x:c r="K32" s="37"/>
      <x:c r="L32" s="25"/>
      <x:c r="M32" s="25"/>
      <x:c r="N32" s="25"/>
      <x:c r="O32" s="25"/>
      <x:c r="P32" s="25"/>
      <x:c r="Q32" s="25"/>
      <x:c r="R32" s="25"/>
      <x:c r="S32" s="38"/>
      <x:c r="T32" s="38"/>
      <x:c r="U32" s="38"/>
      <x:c r="V32" s="38"/>
      <x:c r="W32" s="38"/>
      <x:c r="X32" s="25"/>
    </x:row>
    <x:row r="33" ht="24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</x:row>
    <x:row r="34" ht="24" customHeight="1">
      <x:c r="A34" s="25"/>
      <x:c r="B34" s="36" t="str">
        <x:v>전년 같은 기간</x:v>
      </x:c>
      <x:c r="C34" s="36"/>
      <x:c r="D34" s="36"/>
      <x:c r="E34" s="36"/>
      <x:c r="F34" s="36"/>
      <x:c r="G34" s="37" t="n">
        <x:f>'통계'!B16</x:f>
        <x:v>3</x:v>
      </x:c>
      <x:c r="H34" s="37"/>
      <x:c r="I34" s="37"/>
      <x:c r="J34" s="37"/>
      <x:c r="K34" s="37"/>
      <x:c r="L34" s="25"/>
      <x:c r="M34" s="25"/>
      <x:c r="N34" s="36" t="str">
        <x:v>관찰 기준 초과</x:v>
      </x:c>
      <x:c r="O34" s="36"/>
      <x:c r="P34" s="36"/>
      <x:c r="Q34" s="36"/>
      <x:c r="R34" s="36"/>
      <x:c r="S34" s="37" t="n">
        <x:f>'통계'!B13</x:f>
        <x:v>23</x:v>
      </x:c>
      <x:c r="T34" s="37"/>
      <x:c r="U34" s="37"/>
      <x:c r="V34" s="37"/>
      <x:c r="W34" s="37"/>
      <x:c r="X34" s="25"/>
    </x:row>
    <x:row r="35" ht="24" customHeight="1">
      <x:c r="A35" s="25"/>
      <x:c r="B35" s="25"/>
      <x:c r="C35" s="25"/>
      <x:c r="D35" s="25"/>
      <x:c r="E35" s="25"/>
      <x:c r="F35" s="25"/>
      <x:c r="G35" s="37"/>
      <x:c r="H35" s="37"/>
      <x:c r="I35" s="37"/>
      <x:c r="J35" s="37"/>
      <x:c r="K35" s="37"/>
      <x:c r="L35" s="25"/>
      <x:c r="M35" s="25"/>
      <x:c r="N35" s="25"/>
      <x:c r="O35" s="25"/>
      <x:c r="P35" s="25"/>
      <x:c r="Q35" s="25"/>
      <x:c r="R35" s="25"/>
      <x:c r="S35" s="37"/>
      <x:c r="T35" s="37"/>
      <x:c r="U35" s="37"/>
      <x:c r="V35" s="37"/>
      <x:c r="W35" s="37"/>
      <x:c r="X35" s="25"/>
    </x:row>
    <x:row r="36" ht="24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</x:row>
    <x:row r="37" ht="24" customHeight="1">
      <x:c r="A37" s="25"/>
      <x:c r="B37" s="36" t="str">
        <x:v>증감 버전</x:v>
      </x:c>
      <x:c r="C37" s="36"/>
      <x:c r="D37" s="36"/>
      <x:c r="E37" s="36"/>
      <x:c r="F37" s="36"/>
      <x:c r="G37" s="37" t="n">
        <x:f>'통계'!B17</x:f>
        <x:v>-1</x:v>
      </x:c>
      <x:c r="H37" s="37"/>
      <x:c r="I37" s="37"/>
      <x:c r="J37" s="37"/>
      <x:c r="K37" s="37"/>
      <x:c r="L37" s="25"/>
      <x:c r="M37" s="25"/>
      <x:c r="N37" s="39" t="str">
        <x:v>분야·등록형태·최신 버전 분포와 연도별 정확한 수치는 통계 시트에서 확인하세요.</x:v>
      </x:c>
      <x:c r="O37" s="39"/>
      <x:c r="P37" s="39"/>
      <x:c r="Q37" s="39"/>
      <x:c r="R37" s="39"/>
      <x:c r="S37" s="39"/>
      <x:c r="T37" s="39"/>
      <x:c r="U37" s="39"/>
      <x:c r="V37" s="39"/>
      <x:c r="W37" s="39"/>
      <x:c r="X37" s="25"/>
    </x:row>
    <x:row r="38" ht="24" customHeight="1">
      <x:c r="A38" s="25"/>
      <x:c r="B38" s="25"/>
      <x:c r="C38" s="25"/>
      <x:c r="D38" s="25"/>
      <x:c r="E38" s="25"/>
      <x:c r="F38" s="25"/>
      <x:c r="G38" s="37"/>
      <x:c r="H38" s="37"/>
      <x:c r="I38" s="37"/>
      <x:c r="J38" s="37"/>
      <x:c r="K38" s="37"/>
      <x:c r="L38" s="25"/>
      <x:c r="M38" s="25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25"/>
    </x:row>
    <x:row r="39" ht="24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25"/>
    </x:row>
    <x:row r="40" ht="24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</x:row>
    <x:row r="41" ht="24" customHeight="1">
      <x:c r="A41" s="25"/>
      <x:c r="B41" s="34" t="str">
        <x:v>진행 중 신청과 업무기한</x:v>
      </x:c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25"/>
    </x:row>
    <x:row r="42" ht="24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</x:row>
    <x:row r="43" ht="24" customHeight="1">
      <x:c r="A43" s="25"/>
      <x:c r="B43" s="41" t="str">
        <x:v>신청·검토 중  /  보완기한  /  심사 소요기간  /  승인율: 공개자료 미확보</x:v>
      </x:c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25"/>
    </x:row>
    <x:row r="44" ht="24" customHeight="1">
      <x:c r="A44" s="25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25"/>
    </x:row>
    <x:row r="45" ht="24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</x:row>
    <x:row r="46" ht="24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</x:row>
    <x:row r="47" ht="24" customHeight="1">
      <x:c r="A47" s="25"/>
      <x:c r="B47" s="27" t="str">
        <x:v>공개자료만 포함했습니다. 내부 신청·검토 메모·개인정보는 포함하지 않았습니다.</x:v>
      </x:c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5"/>
    </x:row>
    <x:row r="48" ht="24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</x:row>
    <x:row r="49" ht="24" customHeight="1">
      <x:c r="A49" s="25"/>
      <x:c r="B49" s="27" t="str">
        <x:v>유효시작일을 최초등록일로 대체하지 않습니다. 전국·산업부문 전체 통계가 아닙니다.</x:v>
      </x:c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5"/>
    </x:row>
    <x:row r="50" ht="24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</x:row>
    <x:row r="51" ht="24" customHeight="1">
      <x:c r="A51" s="25"/>
      <x:c r="B51" s="28" t="str">
        <x:v>분석조건 → 통계 → 방법론 / 버전 시트에서 같은 수치와 공개 출처를 확인하세요.</x:v>
      </x:c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5"/>
    </x:row>
    <x:row r="52" ht="24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</x:row>
    <x:row r="53" ht="24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</x:row>
    <x:row r="54" ht="24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</x:row>
    <x:row r="55" ht="24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</x:row>
    <x:row r="56" ht="24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</x:row>
    <x:row r="57" ht="24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</x:row>
    <x:row r="58" ht="24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</x:row>
    <x:row r="59" ht="24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</x:row>
    <x:row r="60" ht="24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</x:row>
  </x:sheetData>
  <x:mergeCells>
    <x:mergeCell ref="B2:W2"/>
    <x:mergeCell ref="B3:W3"/>
    <x:mergeCell ref="B4:W4"/>
    <x:mergeCell ref="B6:D6"/>
    <x:mergeCell ref="B7:D8"/>
    <x:mergeCell ref="B9:D10"/>
    <x:mergeCell ref="F6:H6"/>
    <x:mergeCell ref="F7:H8"/>
    <x:mergeCell ref="F9:H10"/>
    <x:mergeCell ref="J6:L6"/>
    <x:mergeCell ref="J7:L8"/>
    <x:mergeCell ref="J9:L10"/>
    <x:mergeCell ref="N6:P6"/>
    <x:mergeCell ref="N7:P8"/>
    <x:mergeCell ref="N9:P10"/>
    <x:mergeCell ref="R6:T6"/>
    <x:mergeCell ref="R7:T8"/>
    <x:mergeCell ref="R9:T10"/>
    <x:mergeCell ref="V6:W6"/>
    <x:mergeCell ref="V7:W8"/>
    <x:mergeCell ref="V9:W10"/>
    <x:mergeCell ref="B12:L12"/>
    <x:mergeCell ref="N12:W12"/>
    <x:mergeCell ref="B13:L13"/>
    <x:mergeCell ref="N13:W13"/>
    <x:mergeCell ref="B29:L29"/>
    <x:mergeCell ref="N29:W29"/>
    <x:mergeCell ref="B31:F31"/>
    <x:mergeCell ref="G31:K32"/>
    <x:mergeCell ref="B34:F34"/>
    <x:mergeCell ref="G34:K35"/>
    <x:mergeCell ref="B37:F37"/>
    <x:mergeCell ref="G37:K38"/>
    <x:mergeCell ref="N31:R31"/>
    <x:mergeCell ref="S31:W32"/>
    <x:mergeCell ref="N34:R34"/>
    <x:mergeCell ref="S34:W35"/>
    <x:mergeCell ref="N37:W39"/>
    <x:mergeCell ref="B41:W41"/>
    <x:mergeCell ref="B43:W44"/>
    <x:mergeCell ref="B47:W47"/>
    <x:mergeCell ref="B49:W49"/>
    <x:mergeCell ref="B51:W51"/>
  </x:mergeCells>
  <x:pageMargins left="0.7" right="0.7" top="0.75" bottom="0.75" header="0.3" footer="0.3"/>
  <x:drawing xmlns:r="http://schemas.openxmlformats.org/officeDocument/2006/relationships" r:id="R6095e1bf99c348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6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분석 조건</x:v>
      </x:c>
      <x:c r="B2" s="3"/>
      <x:c r="C2" s="3"/>
      <x:c r="D2" s="3"/>
      <x:c r="E2" s="3"/>
      <x:c r="F2" s="3"/>
      <x:c r="G2" s="3"/>
      <x:c r="H2" s="3"/>
    </x:row>
    <x:row r="3" ht="25" customHeight="1">
      <x:c r="A3" s="4" t="str">
        <x:v>노란 칸을 바꾸면 통계와 그래프가 함께 바뀝니다. 날짜는 유효시작일 기준입니다.</x:v>
      </x:c>
      <x:c r="B3" s="4"/>
      <x:c r="C3" s="4"/>
      <x:c r="D3" s="4"/>
      <x:c r="E3" s="4"/>
      <x:c r="F3" s="4"/>
      <x:c r="G3" s="4"/>
      <x:c r="H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J4" t="str">
        <x:v>분야 선택값</x:v>
      </x:c>
    </x:row>
    <x:row r="5" ht="25" customHeight="1">
      <x:c r="A5" s="2" t="str">
        <x:v>유효시작일 상한</x:v>
      </x:c>
      <x:c r="B5" s="6" t="n">
        <x:v>46309</x:v>
      </x:c>
      <x:c r="C5" s="4" t="str">
        <x:v>현재 확보한 공개 이력의 날짜 상한</x:v>
      </x:c>
      <x:c r="D5" s="4"/>
      <x:c r="E5" s="4"/>
      <x:c r="F5" s="4"/>
      <x:c r="G5" s="4"/>
      <x:c r="H5" s="4"/>
      <x:c r="J5" t="str">
        <x:v>all</x:v>
      </x:c>
    </x:row>
    <x:row r="6" ht="25" customHeight="1">
      <x:c r="A6" s="2" t="str">
        <x:v>비교연도</x:v>
      </x:c>
      <x:c r="B6" s="5" t="n">
        <x:v>2026</x:v>
      </x:c>
      <x:c r="C6" s="4" t="str">
        <x:v>해당 연도와 전년 같은 기간 비교</x:v>
      </x:c>
      <x:c r="D6" s="4"/>
      <x:c r="E6" s="4"/>
      <x:c r="F6" s="4"/>
      <x:c r="G6" s="4"/>
      <x:c r="H6" s="4"/>
      <x:c r="J6" t="str">
        <x:v>에너지산업</x:v>
      </x:c>
    </x:row>
    <x:row r="7" ht="25" customHeight="1">
      <x:c r="A7" s="2" t="str">
        <x:v>방법론 분야</x:v>
      </x:c>
      <x:c r="B7" s="5" t="str">
        <x:v>all</x:v>
      </x:c>
      <x:c r="C7" s="4" t="str">
        <x:v>all = 전체 선택 분야</x:v>
      </x:c>
      <x:c r="D7" s="4"/>
      <x:c r="E7" s="4"/>
      <x:c r="F7" s="4"/>
      <x:c r="G7" s="4"/>
      <x:c r="H7" s="4"/>
      <x:c r="J7" t="str">
        <x:v>에너지 공급</x:v>
      </x:c>
    </x:row>
    <x:row r="8" ht="25" customHeight="1">
      <x:c r="A8" s="2" t="str">
        <x:v>등록형태</x:v>
      </x:c>
      <x:c r="B8" s="5" t="str">
        <x:v>all</x:v>
      </x:c>
      <x:c r="C8" s="4" t="str">
        <x:v>all / 신청등록 / 직권등록</x:v>
      </x:c>
      <x:c r="D8" s="4"/>
      <x:c r="E8" s="4"/>
      <x:c r="F8" s="4"/>
      <x:c r="G8" s="4"/>
      <x:c r="H8" s="4"/>
      <x:c r="J8" t="str">
        <x:v>에너지 수요</x:v>
      </x:c>
    </x:row>
    <x:row r="9" ht="25" customHeight="1">
      <x:c r="A9" s="2" t="str">
        <x:v>개정 경험</x:v>
      </x:c>
      <x:c r="B9" s="5" t="str">
        <x:v>all</x:v>
      </x:c>
      <x:c r="C9" s="4" t="str">
        <x:v>all / revised(있음) / unrevised(없음)</x:v>
      </x:c>
      <x:c r="D9" s="4"/>
      <x:c r="E9" s="4"/>
      <x:c r="F9" s="4"/>
      <x:c r="G9" s="4"/>
      <x:c r="H9" s="4"/>
      <x:c r="J9" t="str">
        <x:v>제조업</x:v>
      </x:c>
    </x:row>
    <x:row r="10" ht="25" customHeight="1">
      <x:c r="A10" s="2" t="str">
        <x:v>장기 관찰 기준(일)</x:v>
      </x:c>
      <x:c r="B10" s="5" t="n">
        <x:v>1095</x:v>
      </x:c>
      <x:c r="C10" s="4" t="str">
        <x:v>초과 경과한 방법론. 법정기한·효력 판단 아님</x:v>
      </x:c>
      <x:c r="D10" s="4"/>
      <x:c r="E10" s="4"/>
      <x:c r="F10" s="4"/>
      <x:c r="G10" s="4"/>
      <x:c r="H10" s="4"/>
      <x:c r="J10" t="str">
        <x:v>화학산업</x:v>
      </x:c>
    </x:row>
    <x:row r="11" ht="25" customHeight="1">
      <x:c r="A11" s="2" t="str">
        <x:v>최근 변경 기간(일)</x:v>
      </x:c>
      <x:c r="B11" s="5" t="n">
        <x:v>365</x:v>
      </x:c>
      <x:c r="C11" s="4" t="str">
        <x:v>기준일 포함 N일의 유효시작 버전</x:v>
      </x:c>
      <x:c r="D11" s="4"/>
      <x:c r="E11" s="4"/>
      <x:c r="F11" s="4"/>
      <x:c r="G11" s="4"/>
      <x:c r="H11" s="4"/>
      <x:c r="J11" t="str">
        <x:v>건설</x:v>
      </x:c>
    </x:row>
    <x:row r="12" ht="25" customHeight="1">
      <x:c r="A12" s="2" t="str">
        <x:v>코드·방법론 검색</x:v>
      </x:c>
      <x:c r="B12" s="5" t="str"/>
      <x:c r="C12" s="4" t="str">
        <x:v>비우면 전체. 코드·명칭·분야 부분 검색</x:v>
      </x:c>
      <x:c r="D12" s="4"/>
      <x:c r="E12" s="4"/>
      <x:c r="F12" s="4"/>
      <x:c r="G12" s="4"/>
      <x:c r="H12" s="4"/>
      <x:c r="J12" t="str">
        <x:v>할로겐화탄소, 육불화황 생산및소비로부터의 탈루배출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선택연도 비교 종료일</x:v>
      </x:c>
      <x:c r="B14" s="7" t="n">
        <x:f>MIN(DATE(B6,12,31),B5)</x:f>
        <x:v>46309</x:v>
      </x:c>
      <x:c r="C14" s="2"/>
      <x:c r="D14" s="2"/>
      <x:c r="E14" s="2"/>
      <x:c r="F14" s="2"/>
      <x:c r="G14" s="2"/>
      <x:c r="H14" s="2"/>
    </x:row>
    <x:row r="15" ht="25" customHeight="1">
      <x:c r="A15" s="2" t="str">
        <x:v>전년 동기간 종료일</x:v>
      </x:c>
      <x:c r="B15" s="7" t="n">
        <x:f>EDATE(B14,-12)</x:f>
        <x:v>45944</x:v>
      </x:c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25" customHeight="1">
      <x:c r="A18" s="8" t="str">
        <x:v>자료 범위</x:v>
      </x:c>
      <x:c r="B18" s="8"/>
      <x:c r="C18" s="8"/>
      <x:c r="D18" s="8"/>
      <x:c r="E18" s="8"/>
      <x:c r="F18" s="8"/>
      <x:c r="G18" s="8"/>
      <x:c r="H18" s="8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4" t="str">
        <x:v>산업·전환 분석 대상으로 선택한 33개 코드의 ORS 공개 이력 확인분. 산업부문 전체 통계가 아닙니다.</x:v>
      </x:c>
      <x:c r="B20" s="4"/>
      <x:c r="C20" s="4"/>
      <x:c r="D20" s="4"/>
      <x:c r="E20" s="4"/>
      <x:c r="F20" s="4"/>
      <x:c r="G20" s="4"/>
      <x:c r="H20" s="4"/>
    </x:row>
    <x:row r="21" ht="25" customHeight="1">
      <x:c r="A21" s="4" t="str">
        <x:v>방법론 유효시작일. 최초등록일·신청일·심사일과 다릅니다.</x:v>
      </x:c>
      <x:c r="B21" s="4"/>
      <x:c r="C21" s="4"/>
      <x:c r="D21" s="4"/>
      <x:c r="E21" s="4"/>
      <x:c r="F21" s="4"/>
      <x:c r="G21" s="4"/>
      <x:c r="H21" s="4"/>
    </x:row>
    <x:row r="22" ht="25" customHeight="1">
      <x:c r="A22" s="4" t="str">
        <x:v>공개 확인일 2026-10-14. 분야·등록형태는 수집 시점의 공개 분류입니다.</x:v>
      </x:c>
      <x:c r="B22" s="4"/>
      <x:c r="C22" s="4"/>
      <x:c r="D22" s="4"/>
      <x:c r="E22" s="4"/>
      <x:c r="F22" s="4"/>
      <x:c r="G22" s="4"/>
      <x:c r="H22" s="4"/>
    </x:row>
    <x:row r="23" ht="25" customHeight="1">
      <x:c r="A23" s="4" t="str">
        <x:v>공개 신청·심사·제출기한 데이터는 미확보입니다. 비공개 원장은 포함하지 않았습니다.</x:v>
      </x:c>
      <x:c r="B23" s="4"/>
      <x:c r="C23" s="4"/>
      <x:c r="D23" s="4"/>
      <x:c r="E23" s="4"/>
      <x:c r="F23" s="4"/>
      <x:c r="G23" s="4"/>
      <x:c r="H23" s="4"/>
    </x:row>
    <x:row r="24" ht="25" customHeight="1">
      <x:c r="A24" s="4" t="str">
        <x:v>과거 상한 선택은 현재 공개 이력의 재구성입니다. 당시 전수 현황을 의미하지 않습니다.</x:v>
      </x:c>
      <x:c r="B24" s="4"/>
      <x:c r="C24" s="4"/>
      <x:c r="D24" s="4"/>
      <x:c r="E24" s="4"/>
      <x:c r="F24" s="4"/>
      <x:c r="G24" s="4"/>
      <x:c r="H24" s="4"/>
    </x:row>
    <x:row r="25" ht="25" customHeight="1">
      <x:c r="A25" s="4" t="str">
        <x:v>방법론·버전 표의 포함 열 1을 필터하면 선택 조건의 목록을 확인할 수 있습니다.</x:v>
      </x:c>
      <x:c r="B25" s="4"/>
      <x:c r="C25" s="4"/>
      <x:c r="D25" s="4"/>
      <x:c r="E25" s="4"/>
      <x:c r="F25" s="4"/>
      <x:c r="G25" s="4"/>
      <x:c r="H25" s="4"/>
    </x:row>
    <x:row r="26" ht="25" customHeight="1">
      <x:c r="A26" s="4" t="str">
        <x:v>목록은 33개 코드·40개 버전의 고정 확인본입니다. 새 원장 갱신 시 계산 범위 확장이 필요합니다.</x:v>
      </x:c>
      <x:c r="B26" s="4"/>
      <x:c r="C26" s="4"/>
      <x:c r="D26" s="4"/>
      <x:c r="E26" s="4"/>
      <x:c r="F26" s="4"/>
      <x:c r="G26" s="4"/>
      <x:c r="H26" s="4"/>
    </x:row>
    <x:row r="27" ht="25" customHeight="1">
      <x:c r="A27" s="4" t="str">
        <x:v>출처: https://ors.gir.go.kr/home/orme010/activeList.do?menuId=12</x:v>
      </x:c>
      <x:c r="B27" s="4"/>
      <x:c r="C27" s="4"/>
      <x:c r="D27" s="4"/>
      <x:c r="E27" s="4"/>
      <x:c r="F27" s="4"/>
      <x:c r="G27" s="4"/>
      <x:c r="H27" s="4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</x:sheetData>
  <x:mergeCells>
    <x:mergeCell ref="A2:H2"/>
    <x:mergeCell ref="A3:H3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A18:H18"/>
    <x:mergeCell ref="A20:H20"/>
    <x:mergeCell ref="A21:H21"/>
    <x:mergeCell ref="A22:H22"/>
    <x:mergeCell ref="A23:H23"/>
    <x:mergeCell ref="A24:H24"/>
    <x:mergeCell ref="A25:H25"/>
    <x:mergeCell ref="A26:H26"/>
    <x:mergeCell ref="A27:H27"/>
  </x:mergeCells>
  <x:dataValidations count="6">
    <x:dataValidation type="list" sqref="B7">
      <x:formula1>'분석조건'!$J$5:$J$12</x:formula1>
    </x:dataValidation>
    <x:dataValidation type="list" sqref="B8">
      <x:formula1>"all,신청등록,직권등록"</x:formula1>
    </x:dataValidation>
    <x:dataValidation type="list" sqref="B9">
      <x:formula1>"all,revised,unrevised"</x:formula1>
    </x:dataValidation>
    <x:dataValidation type="whole" operator="between" sqref="B6">
      <x:formula1>2015</x:formula1>
      <x:formula2>YEAR(B5)</x:formula2>
    </x:dataValidation>
    <x:dataValidation type="date" operator="between" sqref="B5">
      <x:formula1>42005</x:formula1>
      <x:formula2>46309</x:formula2>
    </x:dataValidation>
    <x:dataValidation type="whole" operator="between" sqref="B10:B11">
      <x:formula1>1</x:formula1>
      <x:formula2>36500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3" t="str">
        <x:v>공개자료 통계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4" t="str">
        <x:v>신규·개정은 버전 단위, 분야·경과·개정 경험은 방법론 단위입니다.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12" t="str">
        <x:v>지표</x:v>
      </x:c>
      <x:c r="B6" s="12" t="str">
        <x:v>값</x:v>
      </x:c>
      <x:c r="C6" s="2"/>
      <x:c r="D6" s="12" t="str">
        <x:v>유효시작 연도</x:v>
      </x:c>
      <x:c r="E6" s="12" t="str">
        <x:v>최초 버전</x:v>
      </x:c>
      <x:c r="F6" s="12" t="str">
        <x:v>개정 버전</x:v>
      </x:c>
      <x:c r="G6" s="12" t="str">
        <x:v>누적 방법론</x:v>
      </x:c>
      <x:c r="H6" s="2"/>
      <x:c r="I6" s="12" t="str">
        <x:v>분야 원문</x:v>
      </x:c>
      <x:c r="J6" s="12" t="str">
        <x:v>방법론</x:v>
      </x:c>
      <x:c r="K6" s="12" t="str">
        <x:v>비중</x:v>
      </x:c>
      <x:c r="L6" s="2"/>
      <x:c r="M6" s="12" t="str">
        <x:v>최신 버전 경과</x:v>
      </x:c>
      <x:c r="N6" s="12" t="str">
        <x:v>방법론</x:v>
      </x:c>
      <x:c r="O6" s="2"/>
      <x:c r="P6" s="2"/>
      <x:c r="Q6" s="2"/>
      <x:c r="R6" s="2"/>
      <x:c r="S6" s="2"/>
    </x:row>
    <x:row r="7" ht="25" customHeight="1">
      <x:c r="A7" s="2" t="str">
        <x:v>공개 확인 방법론</x:v>
      </x:c>
      <x:c r="B7" s="2" t="n">
        <x:f>SUM('방법론'!L7:L39)</x:f>
        <x:v>33</x:v>
      </x:c>
      <x:c r="C7" s="2"/>
      <x:c r="D7" s="2" t="str">
        <x:v>2015</x:v>
      </x:c>
      <x:c r="E7" s="2" t="n">
        <x:f>IF(D7&gt;YEAR('분석조건'!$B$5),"",COUNTIFS('버전'!$K$7:$K$46,1,'버전'!$D$7:$D$46,"new",'버전'!$L$7:$L$46,D7))</x:f>
        <x:v>7</x:v>
      </x:c>
      <x:c r="F7" s="2" t="n">
        <x:f>IF(D7&gt;YEAR('분석조건'!$B$5),"",COUNTIFS('버전'!$K$7:$K$46,1,'버전'!$D$7:$D$46,"revision",'버전'!$L$7:$L$46,D7))</x:f>
        <x:v>0</x:v>
      </x:c>
      <x:c r="G7" s="2" t="n">
        <x:f>IF(D7&gt;YEAR('분석조건'!$B$5),"",COUNTIFS('방법론'!$L$7:$L$39,1,'방법론'!$H$7:$H$39,"&gt;0",'방법론'!$H$7:$H$39,"&lt;="&amp;DATE(D7,12,31)))</x:f>
        <x:v>7</x:v>
      </x:c>
      <x:c r="H7" s="2"/>
      <x:c r="I7" s="2" t="str">
        <x:v>건설</x:v>
      </x:c>
      <x:c r="J7" s="2" t="n">
        <x:f>COUNTIFS('방법론'!$L$7:$L$39,1,'방법론'!$C$7:$C$39,I7)</x:f>
        <x:v>1</x:v>
      </x:c>
      <x:c r="K7" s="18" t="n">
        <x:f>IF($B$7=0,"계산 불가",J7/$B$7)</x:f>
        <x:v>0.030303030303030304</x:v>
      </x:c>
      <x:c r="L7" s="2"/>
      <x:c r="M7" s="2" t="str">
        <x:v>1년 이내</x:v>
      </x:c>
      <x:c r="N7" s="2" t="n">
        <x:f>COUNTIFS('방법론'!L7:L39,1,'방법론'!K7:K39,"&lt;=365")</x:f>
        <x:v>4</x:v>
      </x:c>
      <x:c r="O7" s="2"/>
      <x:c r="P7" s="2"/>
      <x:c r="Q7" s="2"/>
      <x:c r="R7" s="2"/>
      <x:c r="S7" s="2"/>
    </x:row>
    <x:row r="8" ht="25" customHeight="1">
      <x:c r="A8" s="2" t="str">
        <x:v>공개 버전</x:v>
      </x:c>
      <x:c r="B8" s="2" t="n">
        <x:f>SUM('버전'!K7:K46)</x:f>
        <x:v>40</x:v>
      </x:c>
      <x:c r="C8" s="2"/>
      <x:c r="D8" s="2" t="str">
        <x:v>2016</x:v>
      </x:c>
      <x:c r="E8" s="2" t="n">
        <x:f>IF(D8&gt;YEAR('분석조건'!$B$5),"",COUNTIFS('버전'!$K$7:$K$46,1,'버전'!$D$7:$D$46,"new",'버전'!$L$7:$L$46,D8))</x:f>
        <x:v>3</x:v>
      </x:c>
      <x:c r="F8" s="2" t="n">
        <x:f>IF(D8&gt;YEAR('분석조건'!$B$5),"",COUNTIFS('버전'!$K$7:$K$46,1,'버전'!$D$7:$D$46,"revision",'버전'!$L$7:$L$46,D8))</x:f>
        <x:v>0</x:v>
      </x:c>
      <x:c r="G8" s="2" t="n">
        <x:f>IF(D8&gt;YEAR('분석조건'!$B$5),"",COUNTIFS('방법론'!$L$7:$L$39,1,'방법론'!$H$7:$H$39,"&gt;0",'방법론'!$H$7:$H$39,"&lt;="&amp;DATE(D8,12,31)))</x:f>
        <x:v>10</x:v>
      </x:c>
      <x:c r="H8" s="2"/>
      <x:c r="I8" s="2" t="str">
        <x:v>에너지 공급</x:v>
      </x:c>
      <x:c r="J8" s="2" t="n">
        <x:f>COUNTIFS('방법론'!$L$7:$L$39,1,'방법론'!$C$7:$C$39,I8)</x:f>
        <x:v>3</x:v>
      </x:c>
      <x:c r="K8" s="18" t="n">
        <x:f>IF($B$7=0,"계산 불가",J8/$B$7)</x:f>
        <x:v>0.09090909090909091</x:v>
      </x:c>
      <x:c r="L8" s="2"/>
      <x:c r="M8" s="2" t="str">
        <x:v>1~3년</x:v>
      </x:c>
      <x:c r="N8" s="2" t="n">
        <x:f>COUNTIFS('방법론'!L7:L39,1,'방법론'!K7:K39,"&gt;365",'방법론'!K7:K39,"&lt;=1095")</x:f>
        <x:v>6</x:v>
      </x:c>
      <x:c r="O8" s="2"/>
      <x:c r="P8" s="2"/>
      <x:c r="Q8" s="2"/>
      <x:c r="R8" s="2"/>
      <x:c r="S8" s="2"/>
    </x:row>
    <x:row r="9" ht="25" customHeight="1">
      <x:c r="A9" s="2" t="str">
        <x:v>개정 경험 방법론</x:v>
      </x:c>
      <x:c r="B9" s="2" t="n">
        <x:f>COUNTIFS('방법론'!L7:L39,1,'방법론'!I7:I39,"&gt;0")</x:f>
        <x:v>6</x:v>
      </x:c>
      <x:c r="C9" s="2"/>
      <x:c r="D9" s="2" t="str">
        <x:v>2017</x:v>
      </x:c>
      <x:c r="E9" s="2" t="n">
        <x:f>IF(D9&gt;YEAR('분석조건'!$B$5),"",COUNTIFS('버전'!$K$7:$K$46,1,'버전'!$D$7:$D$46,"new",'버전'!$L$7:$L$46,D9))</x:f>
        <x:v>3</x:v>
      </x:c>
      <x:c r="F9" s="2" t="n">
        <x:f>IF(D9&gt;YEAR('분석조건'!$B$5),"",COUNTIFS('버전'!$K$7:$K$46,1,'버전'!$D$7:$D$46,"revision",'버전'!$L$7:$L$46,D9))</x:f>
        <x:v>0</x:v>
      </x:c>
      <x:c r="G9" s="2" t="n">
        <x:f>IF(D9&gt;YEAR('분석조건'!$B$5),"",COUNTIFS('방법론'!$L$7:$L$39,1,'방법론'!$H$7:$H$39,"&gt;0",'방법론'!$H$7:$H$39,"&lt;="&amp;DATE(D9,12,31)))</x:f>
        <x:v>13</x:v>
      </x:c>
      <x:c r="H9" s="2"/>
      <x:c r="I9" s="2" t="str">
        <x:v>에너지 수요</x:v>
      </x:c>
      <x:c r="J9" s="2" t="n">
        <x:f>COUNTIFS('방법론'!$L$7:$L$39,1,'방법론'!$C$7:$C$39,I9)</x:f>
        <x:v>12</x:v>
      </x:c>
      <x:c r="K9" s="18" t="n">
        <x:f>IF($B$7=0,"계산 불가",J9/$B$7)</x:f>
        <x:v>0.36363636363636365</x:v>
      </x:c>
      <x:c r="L9" s="2"/>
      <x:c r="M9" s="2" t="str">
        <x:v>3년 초과</x:v>
      </x:c>
      <x:c r="N9" s="2" t="n">
        <x:f>COUNTIFS('방법론'!L7:L39,1,'방법론'!K7:K39,"&gt;1095")</x:f>
        <x:v>23</x:v>
      </x:c>
      <x:c r="O9" s="2"/>
      <x:c r="P9" s="2"/>
      <x:c r="Q9" s="2"/>
      <x:c r="R9" s="2"/>
      <x:c r="S9" s="2"/>
    </x:row>
    <x:row r="10" ht="25" customHeight="1">
      <x:c r="A10" s="2" t="str">
        <x:v>선택연도 최초 버전</x:v>
      </x:c>
      <x:c r="B10" s="2" t="n">
        <x:f>COUNTIFS('버전'!K7:K46,1,'버전'!D7:D46,"new",'버전'!L7:L46,'분석조건'!B6)</x:f>
        <x:v>0</x:v>
      </x:c>
      <x:c r="C10" s="2"/>
      <x:c r="D10" s="2" t="str">
        <x:v>2018</x:v>
      </x:c>
      <x:c r="E10" s="2" t="n">
        <x:f>IF(D10&gt;YEAR('분석조건'!$B$5),"",COUNTIFS('버전'!$K$7:$K$46,1,'버전'!$D$7:$D$46,"new",'버전'!$L$7:$L$46,D10))</x:f>
        <x:v>0</x:v>
      </x:c>
      <x:c r="F10" s="2" t="n">
        <x:f>IF(D10&gt;YEAR('분석조건'!$B$5),"",COUNTIFS('버전'!$K$7:$K$46,1,'버전'!$D$7:$D$46,"revision",'버전'!$L$7:$L$46,D10))</x:f>
        <x:v>0</x:v>
      </x:c>
      <x:c r="G10" s="2" t="n">
        <x:f>IF(D10&gt;YEAR('분석조건'!$B$5),"",COUNTIFS('방법론'!$L$7:$L$39,1,'방법론'!$H$7:$H$39,"&gt;0",'방법론'!$H$7:$H$39,"&lt;="&amp;DATE(D10,12,31)))</x:f>
        <x:v>13</x:v>
      </x:c>
      <x:c r="H10" s="2"/>
      <x:c r="I10" s="2" t="str">
        <x:v>에너지산업</x:v>
      </x:c>
      <x:c r="J10" s="2" t="n">
        <x:f>COUNTIFS('방법론'!$L$7:$L$39,1,'방법론'!$C$7:$C$39,I10)</x:f>
        <x:v>8</x:v>
      </x:c>
      <x:c r="K10" s="18" t="n">
        <x:f>IF($B$7=0,"계산 불가",J10/$B$7)</x:f>
        <x:v>0.24242424242424243</x:v>
      </x:c>
      <x:c r="L10" s="2"/>
      <x:c r="M10" s="2"/>
      <x:c r="N10" s="2"/>
      <x:c r="O10" s="2"/>
      <x:c r="P10" s="2"/>
      <x:c r="Q10" s="2"/>
      <x:c r="R10" s="2"/>
      <x:c r="S10" s="2"/>
    </x:row>
    <x:row r="11" ht="25" customHeight="1">
      <x:c r="A11" s="2" t="str">
        <x:v>선택연도 개정 버전</x:v>
      </x:c>
      <x:c r="B11" s="2" t="n">
        <x:f>COUNTIFS('버전'!K7:K46,1,'버전'!D7:D46,"revision",'버전'!L7:L46,'분석조건'!B6)</x:f>
        <x:v>2</x:v>
      </x:c>
      <x:c r="C11" s="2"/>
      <x:c r="D11" s="2" t="str">
        <x:v>2019</x:v>
      </x:c>
      <x:c r="E11" s="2" t="n">
        <x:f>IF(D11&gt;YEAR('분석조건'!$B$5),"",COUNTIFS('버전'!$K$7:$K$46,1,'버전'!$D$7:$D$46,"new",'버전'!$L$7:$L$46,D11))</x:f>
        <x:v>0</x:v>
      </x:c>
      <x:c r="F11" s="2" t="n">
        <x:f>IF(D11&gt;YEAR('분석조건'!$B$5),"",COUNTIFS('버전'!$K$7:$K$46,1,'버전'!$D$7:$D$46,"revision",'버전'!$L$7:$L$46,D11))</x:f>
        <x:v>0</x:v>
      </x:c>
      <x:c r="G11" s="2" t="n">
        <x:f>IF(D11&gt;YEAR('분석조건'!$B$5),"",COUNTIFS('방법론'!$L$7:$L$39,1,'방법론'!$H$7:$H$39,"&gt;0",'방법론'!$H$7:$H$39,"&lt;="&amp;DATE(D11,12,31)))</x:f>
        <x:v>13</x:v>
      </x:c>
      <x:c r="H11" s="2"/>
      <x:c r="I11" s="2" t="str">
        <x:v>제조업</x:v>
      </x:c>
      <x:c r="J11" s="2" t="n">
        <x:f>COUNTIFS('방법론'!$L$7:$L$39,1,'방법론'!$C$7:$C$39,I11)</x:f>
        <x:v>2</x:v>
      </x:c>
      <x:c r="K11" s="18" t="n">
        <x:f>IF($B$7=0,"계산 불가",J11/$B$7)</x:f>
        <x:v>0.06060606060606061</x:v>
      </x:c>
      <x:c r="L11" s="2"/>
      <x:c r="M11" s="2"/>
      <x:c r="N11" s="2"/>
      <x:c r="O11" s="2"/>
      <x:c r="P11" s="2"/>
      <x:c r="Q11" s="2"/>
      <x:c r="R11" s="2"/>
      <x:c r="S11" s="2"/>
    </x:row>
    <x:row r="12" ht="34" customHeight="1">
      <x:c r="A12" s="2" t="str">
        <x:v>최근 변경 버전</x:v>
      </x:c>
      <x:c r="B12" s="2" t="n">
        <x:f>SUM('버전'!M7:M46)</x:f>
        <x:v>4</x:v>
      </x:c>
      <x:c r="C12" s="2"/>
      <x:c r="D12" s="2" t="str">
        <x:v>2020</x:v>
      </x:c>
      <x:c r="E12" s="2" t="n">
        <x:f>IF(D12&gt;YEAR('분석조건'!$B$5),"",COUNTIFS('버전'!$K$7:$K$46,1,'버전'!$D$7:$D$46,"new",'버전'!$L$7:$L$46,D12))</x:f>
        <x:v>5</x:v>
      </x:c>
      <x:c r="F12" s="2" t="n">
        <x:f>IF(D12&gt;YEAR('분석조건'!$B$5),"",COUNTIFS('버전'!$K$7:$K$46,1,'버전'!$D$7:$D$46,"revision",'버전'!$L$7:$L$46,D12))</x:f>
        <x:v>0</x:v>
      </x:c>
      <x:c r="G12" s="2" t="n">
        <x:f>IF(D12&gt;YEAR('분석조건'!$B$5),"",COUNTIFS('방법론'!$L$7:$L$39,1,'방법론'!$H$7:$H$39,"&gt;0",'방법론'!$H$7:$H$39,"&lt;="&amp;DATE(D12,12,31)))</x:f>
        <x:v>18</x:v>
      </x:c>
      <x:c r="H12" s="2"/>
      <x:c r="I12" s="2" t="str">
        <x:v>할로겐화탄소, 육불화황 생산및소비로부터의 탈루배출</x:v>
      </x:c>
      <x:c r="J12" s="2" t="n">
        <x:f>COUNTIFS('방법론'!$L$7:$L$39,1,'방법론'!$C$7:$C$39,I12)</x:f>
        <x:v>6</x:v>
      </x:c>
      <x:c r="K12" s="18" t="n">
        <x:f>IF($B$7=0,"계산 불가",J12/$B$7)</x:f>
        <x:v>0.18181818181818182</x:v>
      </x:c>
      <x:c r="L12" s="2"/>
      <x:c r="M12" s="12" t="str">
        <x:v>최신 버전</x:v>
      </x:c>
      <x:c r="N12" s="12" t="str">
        <x:v>방법론</x:v>
      </x:c>
      <x:c r="O12" s="2"/>
      <x:c r="P12" s="2"/>
      <x:c r="Q12" s="2"/>
      <x:c r="R12" s="2"/>
      <x:c r="S12" s="2"/>
    </x:row>
    <x:row r="13" ht="25" customHeight="1">
      <x:c r="A13" s="2" t="str">
        <x:v>장기 관찰 방법론</x:v>
      </x:c>
      <x:c r="B13" s="2" t="n">
        <x:f>SUM('방법론'!M7:M39)</x:f>
        <x:v>23</x:v>
      </x:c>
      <x:c r="C13" s="2"/>
      <x:c r="D13" s="2" t="str">
        <x:v>2021</x:v>
      </x:c>
      <x:c r="E13" s="2" t="n">
        <x:f>IF(D13&gt;YEAR('분석조건'!$B$5),"",COUNTIFS('버전'!$K$7:$K$46,1,'버전'!$D$7:$D$46,"new",'버전'!$L$7:$L$46,D13))</x:f>
        <x:v>3</x:v>
      </x:c>
      <x:c r="F13" s="2" t="n">
        <x:f>IF(D13&gt;YEAR('분석조건'!$B$5),"",COUNTIFS('버전'!$K$7:$K$46,1,'버전'!$D$7:$D$46,"revision",'버전'!$L$7:$L$46,D13))</x:f>
        <x:v>2</x:v>
      </x:c>
      <x:c r="G13" s="2" t="n">
        <x:f>IF(D13&gt;YEAR('분석조건'!$B$5),"",COUNTIFS('방법론'!$L$7:$L$39,1,'방법론'!$H$7:$H$39,"&gt;0",'방법론'!$H$7:$H$39,"&lt;="&amp;DATE(D13,12,31)))</x:f>
        <x:v>21</x:v>
      </x:c>
      <x:c r="H13" s="2"/>
      <x:c r="I13" s="2" t="str">
        <x:v>화학산업</x:v>
      </x:c>
      <x:c r="J13" s="2" t="n">
        <x:f>COUNTIFS('방법론'!$L$7:$L$39,1,'방법론'!$C$7:$C$39,I13)</x:f>
        <x:v>1</x:v>
      </x:c>
      <x:c r="K13" s="18" t="n">
        <x:f>IF($B$7=0,"계산 불가",J13/$B$7)</x:f>
        <x:v>0.030303030303030304</x:v>
      </x:c>
      <x:c r="L13" s="2"/>
      <x:c r="M13" s="2" t="str">
        <x:v>01</x:v>
      </x:c>
      <x:c r="N13" s="2" t="n">
        <x:f>COUNTIFS('방법론'!L7:L39,1,'방법론'!G7:G39,M13)</x:f>
        <x:v>27</x:v>
      </x:c>
      <x:c r="O13" s="2"/>
      <x:c r="P13" s="2"/>
      <x:c r="Q13" s="2"/>
      <x:c r="R13" s="2"/>
      <x:c r="S13" s="2"/>
    </x:row>
    <x:row r="14" ht="25" customHeight="1">
      <x:c r="A14" s="2" t="str">
        <x:v>개정 경험 비중</x:v>
      </x:c>
      <x:c r="B14" s="18" t="n">
        <x:f>IF(B7=0,"계산 불가",B9/B7)</x:f>
        <x:v>0.18181818181818182</x:v>
      </x:c>
      <x:c r="C14" s="2"/>
      <x:c r="D14" s="2" t="str">
        <x:v>2022</x:v>
      </x:c>
      <x:c r="E14" s="2" t="n">
        <x:f>IF(D14&gt;YEAR('분석조건'!$B$5),"",COUNTIFS('버전'!$K$7:$K$46,1,'버전'!$D$7:$D$46,"new",'버전'!$L$7:$L$46,D14))</x:f>
        <x:v>3</x:v>
      </x:c>
      <x:c r="F14" s="2" t="n">
        <x:f>IF(D14&gt;YEAR('분석조건'!$B$5),"",COUNTIFS('버전'!$K$7:$K$46,1,'버전'!$D$7:$D$46,"revision",'버전'!$L$7:$L$46,D14))</x:f>
        <x:v>0</x:v>
      </x:c>
      <x:c r="G14" s="2" t="n">
        <x:f>IF(D14&gt;YEAR('분석조건'!$B$5),"",COUNTIFS('방법론'!$L$7:$L$39,1,'방법론'!$H$7:$H$39,"&gt;0",'방법론'!$H$7:$H$39,"&lt;="&amp;DATE(D14,12,31)))</x:f>
        <x:v>24</x:v>
      </x:c>
      <x:c r="H14" s="2"/>
      <x:c r="I14" s="2"/>
      <x:c r="J14" s="2"/>
      <x:c r="K14" s="2"/>
      <x:c r="L14" s="2"/>
      <x:c r="M14" s="2" t="str">
        <x:v>02</x:v>
      </x:c>
      <x:c r="N14" s="2" t="n">
        <x:f>COUNTIFS('방법론'!L7:L39,1,'방법론'!G7:G39,M14)</x:f>
        <x:v>5</x:v>
      </x:c>
      <x:c r="O14" s="2"/>
      <x:c r="P14" s="2"/>
      <x:c r="Q14" s="2"/>
      <x:c r="R14" s="2"/>
      <x:c r="S14" s="2"/>
    </x:row>
    <x:row r="15" ht="25" customHeight="1">
      <x:c r="A15" s="2" t="str">
        <x:v>선택연도 동기간</x:v>
      </x:c>
      <x:c r="B15" s="2" t="n">
        <x:f>SUM('버전'!N7:N46)</x:f>
        <x:v>2</x:v>
      </x:c>
      <x:c r="C15" s="2"/>
      <x:c r="D15" s="2" t="str">
        <x:v>2023</x:v>
      </x:c>
      <x:c r="E15" s="2" t="n">
        <x:f>IF(D15&gt;YEAR('분석조건'!$B$5),"",COUNTIFS('버전'!$K$7:$K$46,1,'버전'!$D$7:$D$46,"new",'버전'!$L$7:$L$46,D15))</x:f>
        <x:v>2</x:v>
      </x:c>
      <x:c r="F15" s="2" t="n">
        <x:f>IF(D15&gt;YEAR('분석조건'!$B$5),"",COUNTIFS('버전'!$K$7:$K$46,1,'버전'!$D$7:$D$46,"revision",'버전'!$L$7:$L$46,D15))</x:f>
        <x:v>0</x:v>
      </x:c>
      <x:c r="G15" s="2" t="n">
        <x:f>IF(D15&gt;YEAR('분석조건'!$B$5),"",COUNTIFS('방법론'!$L$7:$L$39,1,'방법론'!$H$7:$H$39,"&gt;0",'방법론'!$H$7:$H$39,"&lt;="&amp;DATE(D15,12,31)))</x:f>
        <x:v>26</x:v>
      </x:c>
      <x:c r="H15" s="2"/>
      <x:c r="I15" s="2"/>
      <x:c r="J15" s="2"/>
      <x:c r="K15" s="2"/>
      <x:c r="L15" s="2"/>
      <x:c r="M15" s="2" t="str">
        <x:v>03</x:v>
      </x:c>
      <x:c r="N15" s="2" t="n">
        <x:f>COUNTIFS('방법론'!L7:L39,1,'방법론'!G7:G39,M15)</x:f>
        <x:v>1</x:v>
      </x:c>
      <x:c r="O15" s="2"/>
      <x:c r="P15" s="2"/>
      <x:c r="Q15" s="2"/>
      <x:c r="R15" s="2"/>
      <x:c r="S15" s="2"/>
    </x:row>
    <x:row r="16" ht="25" customHeight="1">
      <x:c r="A16" s="2" t="str">
        <x:v>전년 동기간</x:v>
      </x:c>
      <x:c r="B16" s="2" t="n">
        <x:f>SUM('버전'!O7:O46)</x:f>
        <x:v>3</x:v>
      </x:c>
      <x:c r="C16" s="2"/>
      <x:c r="D16" s="2" t="str">
        <x:v>2024</x:v>
      </x:c>
      <x:c r="E16" s="2" t="n">
        <x:f>IF(D16&gt;YEAR('분석조건'!$B$5),"",COUNTIFS('버전'!$K$7:$K$46,1,'버전'!$D$7:$D$46,"new",'버전'!$L$7:$L$46,D16))</x:f>
        <x:v>4</x:v>
      </x:c>
      <x:c r="F16" s="2" t="n">
        <x:f>IF(D16&gt;YEAR('분석조건'!$B$5),"",COUNTIFS('버전'!$K$7:$K$46,1,'버전'!$D$7:$D$46,"revision",'버전'!$L$7:$L$46,D16))</x:f>
        <x:v>1</x:v>
      </x:c>
      <x:c r="G16" s="2" t="n">
        <x:f>IF(D16&gt;YEAR('분석조건'!$B$5),"",COUNTIFS('방법론'!$L$7:$L$39,1,'방법론'!$H$7:$H$39,"&gt;0",'방법론'!$H$7:$H$39,"&lt;="&amp;DATE(D16,12,31)))</x:f>
        <x:v>30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5" customHeight="1">
      <x:c r="A17" s="2" t="str">
        <x:v>전년 대비 증감</x:v>
      </x:c>
      <x:c r="B17" s="2" t="n">
        <x:f>B15-B16</x:f>
        <x:v>-1</x:v>
      </x:c>
      <x:c r="C17" s="2"/>
      <x:c r="D17" s="2" t="str">
        <x:v>2025</x:v>
      </x:c>
      <x:c r="E17" s="2" t="n">
        <x:f>IF(D17&gt;YEAR('분석조건'!$B$5),"",COUNTIFS('버전'!$K$7:$K$46,1,'버전'!$D$7:$D$46,"new",'버전'!$L$7:$L$46,D17))</x:f>
        <x:v>3</x:v>
      </x:c>
      <x:c r="F17" s="2" t="n">
        <x:f>IF(D17&gt;YEAR('분석조건'!$B$5),"",COUNTIFS('버전'!$K$7:$K$46,1,'버전'!$D$7:$D$46,"revision",'버전'!$L$7:$L$46,D17))</x:f>
        <x:v>2</x:v>
      </x:c>
      <x:c r="G17" s="2" t="n">
        <x:f>IF(D17&gt;YEAR('분석조건'!$B$5),"",COUNTIFS('방법론'!$L$7:$L$39,1,'방법론'!$H$7:$H$39,"&gt;0",'방법론'!$H$7:$H$39,"&lt;="&amp;DATE(D17,12,31)))</x:f>
        <x:v>33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34" customHeight="1">
      <x:c r="A18" s="2" t="str">
        <x:v>전년 대비 증감률</x:v>
      </x:c>
      <x:c r="B18" s="18" t="n">
        <x:f>IF(B16=0,"계산 불가",B17/B16)</x:f>
        <x:v>-0.3333333333333333</x:v>
      </x:c>
      <x:c r="C18" s="2"/>
      <x:c r="D18" s="2" t="str">
        <x:v>2026</x:v>
      </x:c>
      <x:c r="E18" s="2" t="n">
        <x:f>IF(D18&gt;YEAR('분석조건'!$B$5),"",COUNTIFS('버전'!$K$7:$K$46,1,'버전'!$D$7:$D$46,"new",'버전'!$L$7:$L$46,D18))</x:f>
        <x:v>0</x:v>
      </x:c>
      <x:c r="F18" s="2" t="n">
        <x:f>IF(D18&gt;YEAR('분석조건'!$B$5),"",COUNTIFS('버전'!$K$7:$K$46,1,'버전'!$D$7:$D$46,"revision",'버전'!$L$7:$L$46,D18))</x:f>
        <x:v>2</x:v>
      </x:c>
      <x:c r="G18" s="2" t="n">
        <x:f>IF(D18&gt;YEAR('분석조건'!$B$5),"",COUNTIFS('방법론'!$L$7:$L$39,1,'방법론'!$H$7:$H$39,"&gt;0",'방법론'!$H$7:$H$39,"&lt;="&amp;DATE(D18,12,31)))</x:f>
        <x:v>33</x:v>
      </x:c>
      <x:c r="H18" s="2"/>
      <x:c r="I18" s="2"/>
      <x:c r="J18" s="2"/>
      <x:c r="K18" s="2"/>
      <x:c r="L18" s="2"/>
      <x:c r="M18" s="12" t="str">
        <x:v>등록형태</x:v>
      </x:c>
      <x:c r="N18" s="12" t="str">
        <x:v>방법론</x:v>
      </x:c>
      <x:c r="O18" s="2"/>
      <x:c r="P18" s="2"/>
      <x:c r="Q18" s="2"/>
      <x:c r="R18" s="2"/>
      <x:c r="S18" s="2"/>
    </x:row>
    <x:row r="19" ht="25" customHeight="1">
      <x:c r="A19" s="2" t="str">
        <x:v>경과일 중앙값</x:v>
      </x:c>
      <x:c r="B19" s="2" t="n">
        <x:f>IF(B7=0,"계산 불가",MEDIAN('방법론'!N7:N39))</x:f>
        <x:v>2057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 t="str">
        <x:v>신청등록</x:v>
      </x:c>
      <x:c r="N19" s="2" t="n">
        <x:f>COUNTIFS('방법론'!L7:L39,1,'방법론'!D7:D39,M19)</x:f>
        <x:v>19</x:v>
      </x:c>
      <x:c r="O19" s="2"/>
      <x:c r="P19" s="2"/>
      <x:c r="Q19" s="2"/>
      <x:c r="R19" s="2"/>
      <x:c r="S19" s="2"/>
    </x:row>
    <x:row r="20" ht="25" customHeight="1">
      <x:c r="A20" s="2" t="str">
        <x:v>상위 3개 분야 비중</x:v>
      </x:c>
      <x:c r="B20" s="18" t="n">
        <x:f>IF(B7=0,"계산 불가",(LARGE(J7:J13,1)+LARGE(J7:J13,2)+LARGE(J7:J13,3))/B7)</x:f>
        <x:v>0.7878787878787878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 t="str">
        <x:v>직권등록</x:v>
      </x:c>
      <x:c r="N20" s="2" t="n">
        <x:f>COUNTIFS('방법론'!L7:L39,1,'방법론'!D7:D39,M20)</x:f>
        <x:v>14</x:v>
      </x:c>
      <x:c r="O20" s="2"/>
      <x:c r="P20" s="2"/>
      <x:c r="Q20" s="2"/>
      <x:c r="R20" s="2"/>
      <x:c r="S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5" customHeight="1">
      <x:c r="A22" s="8" t="str">
        <x:v>읽는 방법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2"/>
      <x:c r="P22" s="2"/>
      <x:c r="Q22" s="2"/>
      <x:c r="R22" s="2"/>
      <x:c r="S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5" customHeight="1">
      <x:c r="A24" s="4" t="str">
        <x:v>최초 버전 유효시작일 누적은 최초등록일 누적과 다릅니다. 개정은 방법론 신규 건수에 더하지 않습니다.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2"/>
      <x:c r="P24" s="2"/>
      <x:c r="Q24" s="2"/>
      <x:c r="R24" s="2"/>
      <x:c r="S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5" customHeight="1">
      <x:c r="A26" s="4" t="str">
        <x:v>전년 같은 기간 비교에서 전년 0건이면 증감률은 계산 불가입니다. 2026년은 기준일까지 비교합니다.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2"/>
      <x:c r="P26" s="2"/>
      <x:c r="Q26" s="2"/>
      <x:c r="R26" s="2"/>
      <x:c r="S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5" customHeight="1">
      <x:c r="A28" s="4" t="str">
        <x:v>진행 중 신청·보완기한·승인율·심사일수는 공개자료 미확보입니다.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2"/>
      <x:c r="P28" s="2"/>
      <x:c r="Q28" s="2"/>
      <x:c r="R28" s="2"/>
      <x:c r="S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</x:sheetData>
  <x:mergeCells>
    <x:mergeCell ref="A2:K2"/>
    <x:mergeCell ref="A3:K3"/>
    <x:mergeCell ref="A22:N22"/>
    <x:mergeCell ref="A24:N24"/>
    <x:mergeCell ref="A26:N26"/>
    <x:mergeCell ref="A28:N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70" hidden="0" customWidth="1"/>
    <x:col min="3" max="3" width="40" hidden="0" customWidth="1"/>
    <x:col min="4" max="4" width="18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공개 방법론 원장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고유 코드 단위. 회색 계산열의 포함=1이 현재 분석 대상입니다.</x:v>
      </x:c>
      <x:c r="B3" s="4"/>
      <x:c r="C3" s="4"/>
      <x:c r="D3" s="4"/>
      <x:c r="E3" s="4"/>
      <x:c r="F3" s="4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4" customHeight="1">
      <x:c r="A6" s="12" t="str">
        <x:v>코드</x:v>
      </x:c>
      <x:c r="B6" s="12" t="str">
        <x:v>방법론명</x:v>
      </x:c>
      <x:c r="C6" s="12" t="str">
        <x:v>분야 원문</x:v>
      </x:c>
      <x:c r="D6" s="12" t="str">
        <x:v>등록형태</x:v>
      </x:c>
      <x:c r="E6" s="12" t="str">
        <x:v>공개 출처</x:v>
      </x:c>
      <x:c r="F6" s="12" t="str">
        <x:v>최신 유효시작일</x:v>
      </x:c>
      <x:c r="G6" s="12" t="str">
        <x:v>최신 버전</x:v>
      </x:c>
      <x:c r="H6" s="12" t="str">
        <x:v>최초 버전 유효시작일</x:v>
      </x:c>
      <x:c r="I6" s="12" t="str">
        <x:v>개정 이력 수</x:v>
      </x:c>
      <x:c r="J6" s="12" t="str">
        <x:v>확인 버전 수</x:v>
      </x:c>
      <x:c r="K6" s="12" t="str">
        <x:v>최신 버전 경과일</x:v>
      </x:c>
      <x:c r="L6" s="12" t="str">
        <x:v>포함</x:v>
      </x:c>
      <x:c r="M6" s="12" t="str">
        <x:v>장기 관찰</x:v>
      </x:c>
      <x:c r="N6" s="22" t="str">
        <x:v>분석 대상 경과일</x:v>
      </x:c>
    </x:row>
    <x:row r="7" ht="78" customHeight="1">
      <x:c r="A7" s="2" t="str">
        <x:v>01A-001</x:v>
      </x:c>
      <x:c r="B7" s="13" t="str">
        <x:v>목재펠릿을 활용한 연료전환 사업의 방법론</x:v>
      </x:c>
      <x:c r="C7" s="13" t="str">
        <x:v>에너지산업</x:v>
      </x:c>
      <x:c r="D7" s="2" t="str">
        <x:v>직권등록</x:v>
      </x:c>
      <x:c r="E7" s="13" t="str">
        <x:v>https://ors.gir.go.kr/home/orme010/historyRead.do?methdSeq=15&amp;menuId=12</x:v>
      </x:c>
      <x:c r="F7" s="15" t="n">
        <x:f>IF(J7=0,"",_xlfn.MAXIFS('버전'!$E$7:$E$46,'버전'!$B$7:$B$46,A7,'버전'!$E$7:$E$46,"&lt;="&amp;'분석조건'!$B$5))</x:f>
        <x:v>42115</x:v>
      </x:c>
      <x:c r="G7" s="16" t="n">
        <x:f>IF(J7=0,"",_xlfn.MAXIFS('버전'!$H$7:$H$46,'버전'!$B$7:$B$46,A7,'버전'!$E$7:$E$46,F7))</x:f>
        <x:v>1</x:v>
      </x:c>
      <x:c r="H7" s="15" t="n">
        <x:f>IF(COUNTIFS('버전'!$B$7:$B$46,A7,'버전'!$D$7:$D$46,"new",'버전'!$E$7:$E$46,"&lt;="&amp;'분석조건'!$B$5)=0,"",_xlfn.MINIFS('버전'!$E$7:$E$46,'버전'!$B$7:$B$46,A7,'버전'!$D$7:$D$46,"new",'버전'!$E$7:$E$46,"&lt;="&amp;'분석조건'!$B$5))</x:f>
        <x:v>42115</x:v>
      </x:c>
      <x:c r="I7" s="14" t="n">
        <x:f>COUNTIFS('버전'!$B$7:$B$46,A7,'버전'!$D$7:$D$46,"revision",'버전'!$E$7:$E$46,"&lt;="&amp;'분석조건'!$B$5)</x:f>
        <x:v>0</x:v>
      </x:c>
      <x:c r="J7" s="14" t="n">
        <x:f>COUNTIFS('버전'!$B$7:$B$46,A7,'버전'!$E$7:$E$46,"&lt;="&amp;'분석조건'!$B$5)</x:f>
        <x:v>1</x:v>
      </x:c>
      <x:c r="K7" s="14" t="n">
        <x:f>IF(J7=0,"",'분석조건'!$B$5-F7)</x:f>
        <x:v>4194</x:v>
      </x:c>
      <x:c r="L7" s="14" t="n">
        <x:f>IF(AND(J7&gt;0,OR('분석조건'!$B$7="all",C7='분석조건'!$B$7),OR('분석조건'!$B$8="all",D7='분석조건'!$B$8),OR('분석조건'!$B$9="all",AND('분석조건'!$B$9="revised",I7&gt;0),AND('분석조건'!$B$9="unrevised",I7=0)),ISNUMBER(SEARCH(SUBSTITUTE(SUBSTITUTE(SUBSTITUTE('분석조건'!$B$12,"~","~~"),"*","~*"),"?","~?"),A7&amp;" "&amp;B7&amp;" "&amp;C7))),1,0)</x:f>
        <x:v>1</x:v>
      </x:c>
      <x:c r="M7" s="14" t="n">
        <x:f>IF(AND(L7=1,K7&gt;'분석조건'!$B$10),1,0)</x:f>
        <x:v>1</x:v>
      </x:c>
      <x:c r="N7" s="24" t="n">
        <x:f>IF(L7=1,K7,"")</x:f>
        <x:v>4194</x:v>
      </x:c>
    </x:row>
    <x:row r="8" ht="78" customHeight="1">
      <x:c r="A8" s="2" t="str">
        <x:v>01A-006</x:v>
      </x:c>
      <x:c r="B8" s="13" t="str">
        <x:v>가축분뇨 고체연료를 활용한 열/전력 생산 및 이용 사업의 방법론</x:v>
      </x:c>
      <x:c r="C8" s="13" t="str">
        <x:v>에너지산업</x:v>
      </x:c>
      <x:c r="D8" s="2" t="str">
        <x:v>신청등록</x:v>
      </x:c>
      <x:c r="E8" s="13" t="str">
        <x:v>https://ors.gir.go.kr/home/orme010/historyRead.do?methdSeq=469&amp;menuId=12</x:v>
      </x:c>
      <x:c r="F8" s="15" t="n">
        <x:f>IF(J8=0,"",_xlfn.MAXIFS('버전'!$E$7:$E$46,'버전'!$B$7:$B$46,A8,'버전'!$E$7:$E$46,"&lt;="&amp;'분석조건'!$B$5))</x:f>
        <x:v>45902</x:v>
      </x:c>
      <x:c r="G8" s="16" t="n">
        <x:f>IF(J8=0,"",_xlfn.MAXIFS('버전'!$H$7:$H$46,'버전'!$B$7:$B$46,A8,'버전'!$E$7:$E$46,F8))</x:f>
        <x:v>1</x:v>
      </x:c>
      <x:c r="H8" s="15" t="n">
        <x:f>IF(COUNTIFS('버전'!$B$7:$B$46,A8,'버전'!$D$7:$D$46,"new",'버전'!$E$7:$E$46,"&lt;="&amp;'분석조건'!$B$5)=0,"",_xlfn.MINIFS('버전'!$E$7:$E$46,'버전'!$B$7:$B$46,A8,'버전'!$D$7:$D$46,"new",'버전'!$E$7:$E$46,"&lt;="&amp;'분석조건'!$B$5))</x:f>
        <x:v>45902</x:v>
      </x:c>
      <x:c r="I8" s="14" t="n">
        <x:f>COUNTIFS('버전'!$B$7:$B$46,A8,'버전'!$D$7:$D$46,"revision",'버전'!$E$7:$E$46,"&lt;="&amp;'분석조건'!$B$5)</x:f>
        <x:v>0</x:v>
      </x:c>
      <x:c r="J8" s="14" t="n">
        <x:f>COUNTIFS('버전'!$B$7:$B$46,A8,'버전'!$E$7:$E$46,"&lt;="&amp;'분석조건'!$B$5)</x:f>
        <x:v>1</x:v>
      </x:c>
      <x:c r="K8" s="14" t="n">
        <x:f>IF(J8=0,"",'분석조건'!$B$5-F8)</x:f>
        <x:v>407</x:v>
      </x:c>
      <x:c r="L8" s="14" t="n">
        <x:f>IF(AND(J8&gt;0,OR('분석조건'!$B$7="all",C8='분석조건'!$B$7),OR('분석조건'!$B$8="all",D8='분석조건'!$B$8),OR('분석조건'!$B$9="all",AND('분석조건'!$B$9="revised",I8&gt;0),AND('분석조건'!$B$9="unrevised",I8=0)),ISNUMBER(SEARCH(SUBSTITUTE(SUBSTITUTE(SUBSTITUTE('분석조건'!$B$12,"~","~~"),"*","~*"),"?","~?"),A8&amp;" "&amp;B8&amp;" "&amp;C8))),1,0)</x:f>
        <x:v>1</x:v>
      </x:c>
      <x:c r="M8" s="14" t="n">
        <x:f>IF(AND(L8=1,K8&gt;'분석조건'!$B$10),1,0)</x:f>
        <x:v>0</x:v>
      </x:c>
      <x:c r="N8" s="24" t="n">
        <x:f>IF(L8=1,K8,"")</x:f>
        <x:v>407</x:v>
      </x:c>
    </x:row>
    <x:row r="9" ht="78" customHeight="1">
      <x:c r="A9" s="2" t="str">
        <x:v>01B-001</x:v>
      </x:c>
      <x:c r="B9" s="13" t="str">
        <x:v>재생에너지를 이용한 전력 생산 및 계통 연계 사업의 방법론</x:v>
      </x:c>
      <x:c r="C9" s="13" t="str">
        <x:v>에너지산업</x:v>
      </x:c>
      <x:c r="D9" s="2" t="str">
        <x:v>직권등록</x:v>
      </x:c>
      <x:c r="E9" s="13" t="str">
        <x:v>https://ors.gir.go.kr/home/orme010/historyRead.do?methdSeq=18&amp;menuId=12</x:v>
      </x:c>
      <x:c r="F9" s="15" t="n">
        <x:f>IF(J9=0,"",_xlfn.MAXIFS('버전'!$E$7:$E$46,'버전'!$B$7:$B$46,A9,'버전'!$E$7:$E$46,"&lt;="&amp;'분석조건'!$B$5))</x:f>
        <x:v>42115</x:v>
      </x:c>
      <x:c r="G9" s="16" t="n">
        <x:f>IF(J9=0,"",_xlfn.MAXIFS('버전'!$H$7:$H$46,'버전'!$B$7:$B$46,A9,'버전'!$E$7:$E$46,F9))</x:f>
        <x:v>1</x:v>
      </x:c>
      <x:c r="H9" s="15" t="n">
        <x:f>IF(COUNTIFS('버전'!$B$7:$B$46,A9,'버전'!$D$7:$D$46,"new",'버전'!$E$7:$E$46,"&lt;="&amp;'분석조건'!$B$5)=0,"",_xlfn.MINIFS('버전'!$E$7:$E$46,'버전'!$B$7:$B$46,A9,'버전'!$D$7:$D$46,"new",'버전'!$E$7:$E$46,"&lt;="&amp;'분석조건'!$B$5))</x:f>
        <x:v>42115</x:v>
      </x:c>
      <x:c r="I9" s="14" t="n">
        <x:f>COUNTIFS('버전'!$B$7:$B$46,A9,'버전'!$D$7:$D$46,"revision",'버전'!$E$7:$E$46,"&lt;="&amp;'분석조건'!$B$5)</x:f>
        <x:v>0</x:v>
      </x:c>
      <x:c r="J9" s="14" t="n">
        <x:f>COUNTIFS('버전'!$B$7:$B$46,A9,'버전'!$E$7:$E$46,"&lt;="&amp;'분석조건'!$B$5)</x:f>
        <x:v>1</x:v>
      </x:c>
      <x:c r="K9" s="14" t="n">
        <x:f>IF(J9=0,"",'분석조건'!$B$5-F9)</x:f>
        <x:v>4194</x:v>
      </x:c>
      <x:c r="L9" s="14" t="n">
        <x:f>IF(AND(J9&gt;0,OR('분석조건'!$B$7="all",C9='분석조건'!$B$7),OR('분석조건'!$B$8="all",D9='분석조건'!$B$8),OR('분석조건'!$B$9="all",AND('분석조건'!$B$9="revised",I9&gt;0),AND('분석조건'!$B$9="unrevised",I9=0)),ISNUMBER(SEARCH(SUBSTITUTE(SUBSTITUTE(SUBSTITUTE('분석조건'!$B$12,"~","~~"),"*","~*"),"?","~?"),A9&amp;" "&amp;B9&amp;" "&amp;C9))),1,0)</x:f>
        <x:v>1</x:v>
      </x:c>
      <x:c r="M9" s="14" t="n">
        <x:f>IF(AND(L9=1,K9&gt;'분석조건'!$B$10),1,0)</x:f>
        <x:v>1</x:v>
      </x:c>
      <x:c r="N9" s="24" t="n">
        <x:f>IF(L9=1,K9,"")</x:f>
        <x:v>4194</x:v>
      </x:c>
    </x:row>
    <x:row r="10" ht="78" customHeight="1">
      <x:c r="A10" s="2" t="str">
        <x:v>01B-003</x:v>
      </x:c>
      <x:c r="B10" s="13" t="str">
        <x:v>태양열에너지를 이용한 열에너지 생산 및 이용 사업의 방법론</x:v>
      </x:c>
      <x:c r="C10" s="13" t="str">
        <x:v>에너지산업</x:v>
      </x:c>
      <x:c r="D10" s="2" t="str">
        <x:v>직권등록</x:v>
      </x:c>
      <x:c r="E10" s="13" t="str">
        <x:v>https://ors.gir.go.kr/home/orme010/historyRead.do?methdSeq=20&amp;menuId=12</x:v>
      </x:c>
      <x:c r="F10" s="15" t="n">
        <x:f>IF(J10=0,"",_xlfn.MAXIFS('버전'!$E$7:$E$46,'버전'!$B$7:$B$46,A10,'버전'!$E$7:$E$46,"&lt;="&amp;'분석조건'!$B$5))</x:f>
        <x:v>42115</x:v>
      </x:c>
      <x:c r="G10" s="16" t="n">
        <x:f>IF(J10=0,"",_xlfn.MAXIFS('버전'!$H$7:$H$46,'버전'!$B$7:$B$46,A10,'버전'!$E$7:$E$46,F10))</x:f>
        <x:v>1</x:v>
      </x:c>
      <x:c r="H10" s="15" t="n">
        <x:f>IF(COUNTIFS('버전'!$B$7:$B$46,A10,'버전'!$D$7:$D$46,"new",'버전'!$E$7:$E$46,"&lt;="&amp;'분석조건'!$B$5)=0,"",_xlfn.MINIFS('버전'!$E$7:$E$46,'버전'!$B$7:$B$46,A10,'버전'!$D$7:$D$46,"new",'버전'!$E$7:$E$46,"&lt;="&amp;'분석조건'!$B$5))</x:f>
        <x:v>42115</x:v>
      </x:c>
      <x:c r="I10" s="14" t="n">
        <x:f>COUNTIFS('버전'!$B$7:$B$46,A10,'버전'!$D$7:$D$46,"revision",'버전'!$E$7:$E$46,"&lt;="&amp;'분석조건'!$B$5)</x:f>
        <x:v>0</x:v>
      </x:c>
      <x:c r="J10" s="14" t="n">
        <x:f>COUNTIFS('버전'!$B$7:$B$46,A10,'버전'!$E$7:$E$46,"&lt;="&amp;'분석조건'!$B$5)</x:f>
        <x:v>1</x:v>
      </x:c>
      <x:c r="K10" s="14" t="n">
        <x:f>IF(J10=0,"",'분석조건'!$B$5-F10)</x:f>
        <x:v>4194</x:v>
      </x:c>
      <x:c r="L10" s="14" t="n">
        <x:f>IF(AND(J10&gt;0,OR('분석조건'!$B$7="all",C10='분석조건'!$B$7),OR('분석조건'!$B$8="all",D10='분석조건'!$B$8),OR('분석조건'!$B$9="all",AND('분석조건'!$B$9="revised",I10&gt;0),AND('분석조건'!$B$9="unrevised",I10=0)),ISNUMBER(SEARCH(SUBSTITUTE(SUBSTITUTE(SUBSTITUTE('분석조건'!$B$12,"~","~~"),"*","~*"),"?","~?"),A10&amp;" "&amp;B10&amp;" "&amp;C10))),1,0)</x:f>
        <x:v>1</x:v>
      </x:c>
      <x:c r="M10" s="14" t="n">
        <x:f>IF(AND(L10=1,K10&gt;'분석조건'!$B$10),1,0)</x:f>
        <x:v>1</x:v>
      </x:c>
      <x:c r="N10" s="24" t="n">
        <x:f>IF(L10=1,K10,"")</x:f>
        <x:v>4194</x:v>
      </x:c>
    </x:row>
    <x:row r="11" ht="78" customHeight="1">
      <x:c r="A11" s="2" t="str">
        <x:v>01B-004</x:v>
      </x:c>
      <x:c r="B11" s="13" t="str">
        <x:v>재생에너지를 이용한 전력 생산 및 자가 사용 사업의 방법론</x:v>
      </x:c>
      <x:c r="C11" s="13" t="str">
        <x:v>에너지산업</x:v>
      </x:c>
      <x:c r="D11" s="2" t="str">
        <x:v>직권등록</x:v>
      </x:c>
      <x:c r="E11" s="13" t="str">
        <x:v>https://ors.gir.go.kr/home/orme010/historyRead.do?methdSeq=44&amp;menuId=12</x:v>
      </x:c>
      <x:c r="F11" s="15" t="n">
        <x:f>IF(J11=0,"",_xlfn.MAXIFS('버전'!$E$7:$E$46,'버전'!$B$7:$B$46,A11,'버전'!$E$7:$E$46,"&lt;="&amp;'분석조건'!$B$5))</x:f>
        <x:v>42516</x:v>
      </x:c>
      <x:c r="G11" s="16" t="n">
        <x:f>IF(J11=0,"",_xlfn.MAXIFS('버전'!$H$7:$H$46,'버전'!$B$7:$B$46,A11,'버전'!$E$7:$E$46,F11))</x:f>
        <x:v>1</x:v>
      </x:c>
      <x:c r="H11" s="15" t="n">
        <x:f>IF(COUNTIFS('버전'!$B$7:$B$46,A11,'버전'!$D$7:$D$46,"new",'버전'!$E$7:$E$46,"&lt;="&amp;'분석조건'!$B$5)=0,"",_xlfn.MINIFS('버전'!$E$7:$E$46,'버전'!$B$7:$B$46,A11,'버전'!$D$7:$D$46,"new",'버전'!$E$7:$E$46,"&lt;="&amp;'분석조건'!$B$5))</x:f>
        <x:v>42516</x:v>
      </x:c>
      <x:c r="I11" s="14" t="n">
        <x:f>COUNTIFS('버전'!$B$7:$B$46,A11,'버전'!$D$7:$D$46,"revision",'버전'!$E$7:$E$46,"&lt;="&amp;'분석조건'!$B$5)</x:f>
        <x:v>0</x:v>
      </x:c>
      <x:c r="J11" s="14" t="n">
        <x:f>COUNTIFS('버전'!$B$7:$B$46,A11,'버전'!$E$7:$E$46,"&lt;="&amp;'분석조건'!$B$5)</x:f>
        <x:v>1</x:v>
      </x:c>
      <x:c r="K11" s="14" t="n">
        <x:f>IF(J11=0,"",'분석조건'!$B$5-F11)</x:f>
        <x:v>3793</x:v>
      </x:c>
      <x:c r="L11" s="14" t="n">
        <x:f>IF(AND(J11&gt;0,OR('분석조건'!$B$7="all",C11='분석조건'!$B$7),OR('분석조건'!$B$8="all",D11='분석조건'!$B$8),OR('분석조건'!$B$9="all",AND('분석조건'!$B$9="revised",I11&gt;0),AND('분석조건'!$B$9="unrevised",I11=0)),ISNUMBER(SEARCH(SUBSTITUTE(SUBSTITUTE(SUBSTITUTE('분석조건'!$B$12,"~","~~"),"*","~*"),"?","~?"),A11&amp;" "&amp;B11&amp;" "&amp;C11))),1,0)</x:f>
        <x:v>1</x:v>
      </x:c>
      <x:c r="M11" s="14" t="n">
        <x:f>IF(AND(L11=1,K11&gt;'분석조건'!$B$10),1,0)</x:f>
        <x:v>1</x:v>
      </x:c>
      <x:c r="N11" s="24" t="n">
        <x:f>IF(L11=1,K11,"")</x:f>
        <x:v>3793</x:v>
      </x:c>
    </x:row>
    <x:row r="12" ht="78" customHeight="1">
      <x:c r="A12" s="2" t="str">
        <x:v>01B-008</x:v>
      </x:c>
      <x:c r="B12" s="13" t="str">
        <x:v>전력 자가사용 및 독립된 소규모 계통 연계를 위한 재생에너지 발전사업의 방법론</x:v>
      </x:c>
      <x:c r="C12" s="13" t="str">
        <x:v>에너지산업</x:v>
      </x:c>
      <x:c r="D12" s="2" t="str">
        <x:v>직권등록</x:v>
      </x:c>
      <x:c r="E12" s="13" t="str">
        <x:v>https://ors.gir.go.kr/home/orme010/historyRead.do?methdSeq=353&amp;menuId=12</x:v>
      </x:c>
      <x:c r="F12" s="15" t="n">
        <x:f>IF(J12=0,"",_xlfn.MAXIFS('버전'!$E$7:$E$46,'버전'!$B$7:$B$46,A12,'버전'!$E$7:$E$46,"&lt;="&amp;'분석조건'!$B$5))</x:f>
        <x:v>43987</x:v>
      </x:c>
      <x:c r="G12" s="16" t="n">
        <x:f>IF(J12=0,"",_xlfn.MAXIFS('버전'!$H$7:$H$46,'버전'!$B$7:$B$46,A12,'버전'!$E$7:$E$46,F12))</x:f>
        <x:v>1</x:v>
      </x:c>
      <x:c r="H12" s="15" t="n">
        <x:f>IF(COUNTIFS('버전'!$B$7:$B$46,A12,'버전'!$D$7:$D$46,"new",'버전'!$E$7:$E$46,"&lt;="&amp;'분석조건'!$B$5)=0,"",_xlfn.MINIFS('버전'!$E$7:$E$46,'버전'!$B$7:$B$46,A12,'버전'!$D$7:$D$46,"new",'버전'!$E$7:$E$46,"&lt;="&amp;'분석조건'!$B$5))</x:f>
        <x:v>43987</x:v>
      </x:c>
      <x:c r="I12" s="14" t="n">
        <x:f>COUNTIFS('버전'!$B$7:$B$46,A12,'버전'!$D$7:$D$46,"revision",'버전'!$E$7:$E$46,"&lt;="&amp;'분석조건'!$B$5)</x:f>
        <x:v>0</x:v>
      </x:c>
      <x:c r="J12" s="14" t="n">
        <x:f>COUNTIFS('버전'!$B$7:$B$46,A12,'버전'!$E$7:$E$46,"&lt;="&amp;'분석조건'!$B$5)</x:f>
        <x:v>1</x:v>
      </x:c>
      <x:c r="K12" s="14" t="n">
        <x:f>IF(J12=0,"",'분석조건'!$B$5-F12)</x:f>
        <x:v>2322</x:v>
      </x:c>
      <x:c r="L12" s="14" t="n">
        <x:f>IF(AND(J12&gt;0,OR('분석조건'!$B$7="all",C12='분석조건'!$B$7),OR('분석조건'!$B$8="all",D12='분석조건'!$B$8),OR('분석조건'!$B$9="all",AND('분석조건'!$B$9="revised",I12&gt;0),AND('분석조건'!$B$9="unrevised",I12=0)),ISNUMBER(SEARCH(SUBSTITUTE(SUBSTITUTE(SUBSTITUTE('분석조건'!$B$12,"~","~~"),"*","~*"),"?","~?"),A12&amp;" "&amp;B12&amp;" "&amp;C12))),1,0)</x:f>
        <x:v>1</x:v>
      </x:c>
      <x:c r="M12" s="14" t="n">
        <x:f>IF(AND(L12=1,K12&gt;'분석조건'!$B$10),1,0)</x:f>
        <x:v>1</x:v>
      </x:c>
      <x:c r="N12" s="24" t="n">
        <x:f>IF(L12=1,K12,"")</x:f>
        <x:v>2322</x:v>
      </x:c>
    </x:row>
    <x:row r="13" ht="78" customHeight="1">
      <x:c r="A13" s="2" t="str">
        <x:v>01B-009</x:v>
      </x:c>
      <x:c r="B13" s="13" t="str">
        <x:v>수소 연료전지를 이용한 전기 및 열생산 사업의 방법론</x:v>
      </x:c>
      <x:c r="C13" s="13" t="str">
        <x:v>에너지산업</x:v>
      </x:c>
      <x:c r="D13" s="2" t="str">
        <x:v>직권등록</x:v>
      </x:c>
      <x:c r="E13" s="13" t="str">
        <x:v>https://ors.gir.go.kr/home/orme010/historyRead.do?methdSeq=532&amp;menuId=12</x:v>
      </x:c>
      <x:c r="F13" s="15" t="n">
        <x:f>IF(J13=0,"",_xlfn.MAXIFS('버전'!$E$7:$E$46,'버전'!$B$7:$B$46,A13,'버전'!$E$7:$E$46,"&lt;="&amp;'분석조건'!$B$5))</x:f>
        <x:v>45993</x:v>
      </x:c>
      <x:c r="G13" s="16" t="n">
        <x:f>IF(J13=0,"",_xlfn.MAXIFS('버전'!$H$7:$H$46,'버전'!$B$7:$B$46,A13,'버전'!$E$7:$E$46,F13))</x:f>
        <x:v>2</x:v>
      </x:c>
      <x:c r="H13" s="15" t="n">
        <x:f>IF(COUNTIFS('버전'!$B$7:$B$46,A13,'버전'!$D$7:$D$46,"new",'버전'!$E$7:$E$46,"&lt;="&amp;'분석조건'!$B$5)=0,"",_xlfn.MINIFS('버전'!$E$7:$E$46,'버전'!$B$7:$B$46,A13,'버전'!$D$7:$D$46,"new",'버전'!$E$7:$E$46,"&lt;="&amp;'분석조건'!$B$5))</x:f>
        <x:v>44834</x:v>
      </x:c>
      <x:c r="I13" s="14" t="n">
        <x:f>COUNTIFS('버전'!$B$7:$B$46,A13,'버전'!$D$7:$D$46,"revision",'버전'!$E$7:$E$46,"&lt;="&amp;'분석조건'!$B$5)</x:f>
        <x:v>1</x:v>
      </x:c>
      <x:c r="J13" s="14" t="n">
        <x:f>COUNTIFS('버전'!$B$7:$B$46,A13,'버전'!$E$7:$E$46,"&lt;="&amp;'분석조건'!$B$5)</x:f>
        <x:v>2</x:v>
      </x:c>
      <x:c r="K13" s="14" t="n">
        <x:f>IF(J13=0,"",'분석조건'!$B$5-F13)</x:f>
        <x:v>316</x:v>
      </x:c>
      <x:c r="L13" s="14" t="n">
        <x:f>IF(AND(J13&gt;0,OR('분석조건'!$B$7="all",C13='분석조건'!$B$7),OR('분석조건'!$B$8="all",D13='분석조건'!$B$8),OR('분석조건'!$B$9="all",AND('분석조건'!$B$9="revised",I13&gt;0),AND('분석조건'!$B$9="unrevised",I13=0)),ISNUMBER(SEARCH(SUBSTITUTE(SUBSTITUTE(SUBSTITUTE('분석조건'!$B$12,"~","~~"),"*","~*"),"?","~?"),A13&amp;" "&amp;B13&amp;" "&amp;C13))),1,0)</x:f>
        <x:v>1</x:v>
      </x:c>
      <x:c r="M13" s="14" t="n">
        <x:f>IF(AND(L13=1,K13&gt;'분석조건'!$B$10),1,0)</x:f>
        <x:v>0</x:v>
      </x:c>
      <x:c r="N13" s="24" t="n">
        <x:f>IF(L13=1,K13,"")</x:f>
        <x:v>316</x:v>
      </x:c>
    </x:row>
    <x:row r="14" ht="78" customHeight="1">
      <x:c r="A14" s="2" t="str">
        <x:v>01B-011</x:v>
      </x:c>
      <x:c r="B14" s="13" t="str">
        <x:v>재생에너지를 통해 생산한 전력을 자가 사용 및/또는 계통 연계하는 사업의 방법론</x:v>
      </x:c>
      <x:c r="C14" s="13" t="str">
        <x:v>에너지산업</x:v>
      </x:c>
      <x:c r="D14" s="2" t="str">
        <x:v>신청등록</x:v>
      </x:c>
      <x:c r="E14" s="13" t="str">
        <x:v>https://ors.gir.go.kr/home/orme010/historyRead.do?methdSeq=537&amp;menuId=12</x:v>
      </x:c>
      <x:c r="F14" s="15" t="n">
        <x:f>IF(J14=0,"",_xlfn.MAXIFS('버전'!$E$7:$E$46,'버전'!$B$7:$B$46,A14,'버전'!$E$7:$E$46,"&lt;="&amp;'분석조건'!$B$5))</x:f>
        <x:v>46267</x:v>
      </x:c>
      <x:c r="G14" s="16" t="n">
        <x:f>IF(J14=0,"",_xlfn.MAXIFS('버전'!$H$7:$H$46,'버전'!$B$7:$B$46,A14,'버전'!$E$7:$E$46,F14))</x:f>
        <x:v>2</x:v>
      </x:c>
      <x:c r="H14" s="15" t="n">
        <x:f>IF(COUNTIFS('버전'!$B$7:$B$46,A14,'버전'!$D$7:$D$46,"new",'버전'!$E$7:$E$46,"&lt;="&amp;'분석조건'!$B$5)=0,"",_xlfn.MINIFS('버전'!$E$7:$E$46,'버전'!$B$7:$B$46,A14,'버전'!$D$7:$D$46,"new",'버전'!$E$7:$E$46,"&lt;="&amp;'분석조건'!$B$5))</x:f>
        <x:v>45538</x:v>
      </x:c>
      <x:c r="I14" s="14" t="n">
        <x:f>COUNTIFS('버전'!$B$7:$B$46,A14,'버전'!$D$7:$D$46,"revision",'버전'!$E$7:$E$46,"&lt;="&amp;'분석조건'!$B$5)</x:f>
        <x:v>1</x:v>
      </x:c>
      <x:c r="J14" s="14" t="n">
        <x:f>COUNTIFS('버전'!$B$7:$B$46,A14,'버전'!$E$7:$E$46,"&lt;="&amp;'분석조건'!$B$5)</x:f>
        <x:v>2</x:v>
      </x:c>
      <x:c r="K14" s="14" t="n">
        <x:f>IF(J14=0,"",'분석조건'!$B$5-F14)</x:f>
        <x:v>42</x:v>
      </x:c>
      <x:c r="L14" s="14" t="n">
        <x:f>IF(AND(J14&gt;0,OR('분석조건'!$B$7="all",C14='분석조건'!$B$7),OR('분석조건'!$B$8="all",D14='분석조건'!$B$8),OR('분석조건'!$B$9="all",AND('분석조건'!$B$9="revised",I14&gt;0),AND('분석조건'!$B$9="unrevised",I14=0)),ISNUMBER(SEARCH(SUBSTITUTE(SUBSTITUTE(SUBSTITUTE('분석조건'!$B$12,"~","~~"),"*","~*"),"?","~?"),A14&amp;" "&amp;B14&amp;" "&amp;C14))),1,0)</x:f>
        <x:v>1</x:v>
      </x:c>
      <x:c r="M14" s="14" t="n">
        <x:f>IF(AND(L14=1,K14&gt;'분석조건'!$B$10),1,0)</x:f>
        <x:v>0</x:v>
      </x:c>
      <x:c r="N14" s="24" t="n">
        <x:f>IF(L14=1,K14,"")</x:f>
        <x:v>42</x:v>
      </x:c>
    </x:row>
    <x:row r="15" ht="78" customHeight="1">
      <x:c r="A15" s="2" t="str">
        <x:v>02A-001</x:v>
      </x:c>
      <x:c r="B15" s="13" t="str">
        <x:v>자가발전을 통한 사업장 전력 대체 온실가스 감축 방법론</x:v>
      </x:c>
      <x:c r="C15" s="13" t="str">
        <x:v>에너지 공급</x:v>
      </x:c>
      <x:c r="D15" s="2" t="str">
        <x:v>신청등록</x:v>
      </x:c>
      <x:c r="E15" s="13" t="str">
        <x:v>https://ors.gir.go.kr/home/orme010/historyRead.do?methdSeq=406&amp;menuId=12</x:v>
      </x:c>
      <x:c r="F15" s="15" t="n">
        <x:f>IF(J15=0,"",_xlfn.MAXIFS('버전'!$E$7:$E$46,'버전'!$B$7:$B$46,A15,'버전'!$E$7:$E$46,"&lt;="&amp;'분석조건'!$B$5))</x:f>
        <x:v>45538</x:v>
      </x:c>
      <x:c r="G15" s="16" t="n">
        <x:f>IF(J15=0,"",_xlfn.MAXIFS('버전'!$H$7:$H$46,'버전'!$B$7:$B$46,A15,'버전'!$E$7:$E$46,F15))</x:f>
        <x:v>1</x:v>
      </x:c>
      <x:c r="H15" s="15" t="n">
        <x:f>IF(COUNTIFS('버전'!$B$7:$B$46,A15,'버전'!$D$7:$D$46,"new",'버전'!$E$7:$E$46,"&lt;="&amp;'분석조건'!$B$5)=0,"",_xlfn.MINIFS('버전'!$E$7:$E$46,'버전'!$B$7:$B$46,A15,'버전'!$D$7:$D$46,"new",'버전'!$E$7:$E$46,"&lt;="&amp;'분석조건'!$B$5))</x:f>
        <x:v>45538</x:v>
      </x:c>
      <x:c r="I15" s="14" t="n">
        <x:f>COUNTIFS('버전'!$B$7:$B$46,A15,'버전'!$D$7:$D$46,"revision",'버전'!$E$7:$E$46,"&lt;="&amp;'분석조건'!$B$5)</x:f>
        <x:v>0</x:v>
      </x:c>
      <x:c r="J15" s="14" t="n">
        <x:f>COUNTIFS('버전'!$B$7:$B$46,A15,'버전'!$E$7:$E$46,"&lt;="&amp;'분석조건'!$B$5)</x:f>
        <x:v>1</x:v>
      </x:c>
      <x:c r="K15" s="14" t="n">
        <x:f>IF(J15=0,"",'분석조건'!$B$5-F15)</x:f>
        <x:v>771</x:v>
      </x:c>
      <x:c r="L15" s="14" t="n">
        <x:f>IF(AND(J15&gt;0,OR('분석조건'!$B$7="all",C15='분석조건'!$B$7),OR('분석조건'!$B$8="all",D15='분석조건'!$B$8),OR('분석조건'!$B$9="all",AND('분석조건'!$B$9="revised",I15&gt;0),AND('분석조건'!$B$9="unrevised",I15=0)),ISNUMBER(SEARCH(SUBSTITUTE(SUBSTITUTE(SUBSTITUTE('분석조건'!$B$12,"~","~~"),"*","~*"),"?","~?"),A15&amp;" "&amp;B15&amp;" "&amp;C15))),1,0)</x:f>
        <x:v>1</x:v>
      </x:c>
      <x:c r="M15" s="14" t="n">
        <x:f>IF(AND(L15=1,K15&gt;'분석조건'!$B$10),1,0)</x:f>
        <x:v>0</x:v>
      </x:c>
      <x:c r="N15" s="24" t="n">
        <x:f>IF(L15=1,K15,"")</x:f>
        <x:v>771</x:v>
      </x:c>
    </x:row>
    <x:row r="16" ht="78" customHeight="1">
      <x:c r="A16" s="2" t="str">
        <x:v>02B-001</x:v>
      </x:c>
      <x:c r="B16" s="13" t="str">
        <x:v>열공급시설에서 목질계 바이오매스 연료를 이용하여 생산된 열에너지 공급을 통한 수용가의 화석연료 사용량 절감사업의 방법론</x:v>
      </x:c>
      <x:c r="C16" s="13" t="str">
        <x:v>에너지 공급</x:v>
      </x:c>
      <x:c r="D16" s="2" t="str">
        <x:v>신청등록</x:v>
      </x:c>
      <x:c r="E16" s="13" t="str">
        <x:v>https://ors.gir.go.kr/home/orme010/historyRead.do?methdSeq=332&amp;menuId=12</x:v>
      </x:c>
      <x:c r="F16" s="15" t="n">
        <x:f>IF(J16=0,"",_xlfn.MAXIFS('버전'!$E$7:$E$46,'버전'!$B$7:$B$46,A16,'버전'!$E$7:$E$46,"&lt;="&amp;'분석조건'!$B$5))</x:f>
        <x:v>44252</x:v>
      </x:c>
      <x:c r="G16" s="16" t="n">
        <x:f>IF(J16=0,"",_xlfn.MAXIFS('버전'!$H$7:$H$46,'버전'!$B$7:$B$46,A16,'버전'!$E$7:$E$46,F16))</x:f>
        <x:v>2</x:v>
      </x:c>
      <x:c r="H16" s="15" t="n">
        <x:f>IF(COUNTIFS('버전'!$B$7:$B$46,A16,'버전'!$D$7:$D$46,"new",'버전'!$E$7:$E$46,"&lt;="&amp;'분석조건'!$B$5)=0,"",_xlfn.MINIFS('버전'!$E$7:$E$46,'버전'!$B$7:$B$46,A16,'버전'!$D$7:$D$46,"new",'버전'!$E$7:$E$46,"&lt;="&amp;'분석조건'!$B$5))</x:f>
        <x:v>42810</x:v>
      </x:c>
      <x:c r="I16" s="14" t="n">
        <x:f>COUNTIFS('버전'!$B$7:$B$46,A16,'버전'!$D$7:$D$46,"revision",'버전'!$E$7:$E$46,"&lt;="&amp;'분석조건'!$B$5)</x:f>
        <x:v>1</x:v>
      </x:c>
      <x:c r="J16" s="14" t="n">
        <x:f>COUNTIFS('버전'!$B$7:$B$46,A16,'버전'!$E$7:$E$46,"&lt;="&amp;'분석조건'!$B$5)</x:f>
        <x:v>2</x:v>
      </x:c>
      <x:c r="K16" s="14" t="n">
        <x:f>IF(J16=0,"",'분석조건'!$B$5-F16)</x:f>
        <x:v>2057</x:v>
      </x:c>
      <x:c r="L16" s="14" t="n">
        <x:f>IF(AND(J16&gt;0,OR('분석조건'!$B$7="all",C16='분석조건'!$B$7),OR('분석조건'!$B$8="all",D16='분석조건'!$B$8),OR('분석조건'!$B$9="all",AND('분석조건'!$B$9="revised",I16&gt;0),AND('분석조건'!$B$9="unrevised",I16=0)),ISNUMBER(SEARCH(SUBSTITUTE(SUBSTITUTE(SUBSTITUTE('분석조건'!$B$12,"~","~~"),"*","~*"),"?","~?"),A16&amp;" "&amp;B16&amp;" "&amp;C16))),1,0)</x:f>
        <x:v>1</x:v>
      </x:c>
      <x:c r="M16" s="14" t="n">
        <x:f>IF(AND(L16=1,K16&gt;'분석조건'!$B$10),1,0)</x:f>
        <x:v>1</x:v>
      </x:c>
      <x:c r="N16" s="24" t="n">
        <x:f>IF(L16=1,K16,"")</x:f>
        <x:v>2057</x:v>
      </x:c>
    </x:row>
    <x:row r="17" ht="78" customHeight="1">
      <x:c r="A17" s="2" t="str">
        <x:v>02B-002</x:v>
      </x:c>
      <x:c r="B17" s="13" t="str">
        <x:v>섬유염색공정에서 증기 전용 텐터기 도입과 텐터기 전용 열 공급을 통한 수용가의 화석연료 사용량 절감사업의 방법론</x:v>
      </x:c>
      <x:c r="C17" s="13" t="str">
        <x:v>에너지 공급</x:v>
      </x:c>
      <x:c r="D17" s="2" t="str">
        <x:v>신청등록</x:v>
      </x:c>
      <x:c r="E17" s="13" t="str">
        <x:v>https://ors.gir.go.kr/home/orme010/historyRead.do?methdSeq=438&amp;menuId=12</x:v>
      </x:c>
      <x:c r="F17" s="15" t="n">
        <x:f>IF(J17=0,"",_xlfn.MAXIFS('버전'!$E$7:$E$46,'버전'!$B$7:$B$46,A17,'버전'!$E$7:$E$46,"&lt;="&amp;'분석조건'!$B$5))</x:f>
        <x:v>45902</x:v>
      </x:c>
      <x:c r="G17" s="16" t="n">
        <x:f>IF(J17=0,"",_xlfn.MAXIFS('버전'!$H$7:$H$46,'버전'!$B$7:$B$46,A17,'버전'!$E$7:$E$46,F17))</x:f>
        <x:v>1</x:v>
      </x:c>
      <x:c r="H17" s="15" t="n">
        <x:f>IF(COUNTIFS('버전'!$B$7:$B$46,A17,'버전'!$D$7:$D$46,"new",'버전'!$E$7:$E$46,"&lt;="&amp;'분석조건'!$B$5)=0,"",_xlfn.MINIFS('버전'!$E$7:$E$46,'버전'!$B$7:$B$46,A17,'버전'!$D$7:$D$46,"new",'버전'!$E$7:$E$46,"&lt;="&amp;'분석조건'!$B$5))</x:f>
        <x:v>45902</x:v>
      </x:c>
      <x:c r="I17" s="14" t="n">
        <x:f>COUNTIFS('버전'!$B$7:$B$46,A17,'버전'!$D$7:$D$46,"revision",'버전'!$E$7:$E$46,"&lt;="&amp;'분석조건'!$B$5)</x:f>
        <x:v>0</x:v>
      </x:c>
      <x:c r="J17" s="14" t="n">
        <x:f>COUNTIFS('버전'!$B$7:$B$46,A17,'버전'!$E$7:$E$46,"&lt;="&amp;'분석조건'!$B$5)</x:f>
        <x:v>1</x:v>
      </x:c>
      <x:c r="K17" s="14" t="n">
        <x:f>IF(J17=0,"",'분석조건'!$B$5-F17)</x:f>
        <x:v>407</x:v>
      </x:c>
      <x:c r="L17" s="14" t="n">
        <x:f>IF(AND(J17&gt;0,OR('분석조건'!$B$7="all",C17='분석조건'!$B$7),OR('분석조건'!$B$8="all",D17='분석조건'!$B$8),OR('분석조건'!$B$9="all",AND('분석조건'!$B$9="revised",I17&gt;0),AND('분석조건'!$B$9="unrevised",I17=0)),ISNUMBER(SEARCH(SUBSTITUTE(SUBSTITUTE(SUBSTITUTE('분석조건'!$B$12,"~","~~"),"*","~*"),"?","~?"),A17&amp;" "&amp;B17&amp;" "&amp;C17))),1,0)</x:f>
        <x:v>1</x:v>
      </x:c>
      <x:c r="M17" s="14" t="n">
        <x:f>IF(AND(L17=1,K17&gt;'분석조건'!$B$10),1,0)</x:f>
        <x:v>0</x:v>
      </x:c>
      <x:c r="N17" s="24" t="n">
        <x:f>IF(L17=1,K17,"")</x:f>
        <x:v>407</x:v>
      </x:c>
    </x:row>
    <x:row r="18" ht="78" customHeight="1">
      <x:c r="A18" s="2" t="str">
        <x:v>03A-001</x:v>
      </x:c>
      <x:c r="B18" s="13" t="str">
        <x:v>미활용 열에너지 회수 및 이용 사업의 방법론</x:v>
      </x:c>
      <x:c r="C18" s="13" t="str">
        <x:v>에너지 수요</x:v>
      </x:c>
      <x:c r="D18" s="2" t="str">
        <x:v>직권등록</x:v>
      </x:c>
      <x:c r="E18" s="13" t="str">
        <x:v>https://ors.gir.go.kr/home/orme010/historyRead.do?methdSeq=40&amp;menuId=12</x:v>
      </x:c>
      <x:c r="F18" s="15" t="n">
        <x:f>IF(J18=0,"",_xlfn.MAXIFS('버전'!$E$7:$E$46,'버전'!$B$7:$B$46,A18,'버전'!$E$7:$E$46,"&lt;="&amp;'분석조건'!$B$5))</x:f>
        <x:v>42405</x:v>
      </x:c>
      <x:c r="G18" s="16" t="n">
        <x:f>IF(J18=0,"",_xlfn.MAXIFS('버전'!$H$7:$H$46,'버전'!$B$7:$B$46,A18,'버전'!$E$7:$E$46,F18))</x:f>
        <x:v>1</x:v>
      </x:c>
      <x:c r="H18" s="15" t="n">
        <x:f>IF(COUNTIFS('버전'!$B$7:$B$46,A18,'버전'!$D$7:$D$46,"new",'버전'!$E$7:$E$46,"&lt;="&amp;'분석조건'!$B$5)=0,"",_xlfn.MINIFS('버전'!$E$7:$E$46,'버전'!$B$7:$B$46,A18,'버전'!$D$7:$D$46,"new",'버전'!$E$7:$E$46,"&lt;="&amp;'분석조건'!$B$5))</x:f>
        <x:v>42405</x:v>
      </x:c>
      <x:c r="I18" s="14" t="n">
        <x:f>COUNTIFS('버전'!$B$7:$B$46,A18,'버전'!$D$7:$D$46,"revision",'버전'!$E$7:$E$46,"&lt;="&amp;'분석조건'!$B$5)</x:f>
        <x:v>0</x:v>
      </x:c>
      <x:c r="J18" s="14" t="n">
        <x:f>COUNTIFS('버전'!$B$7:$B$46,A18,'버전'!$E$7:$E$46,"&lt;="&amp;'분석조건'!$B$5)</x:f>
        <x:v>1</x:v>
      </x:c>
      <x:c r="K18" s="14" t="n">
        <x:f>IF(J18=0,"",'분석조건'!$B$5-F18)</x:f>
        <x:v>3904</x:v>
      </x:c>
      <x:c r="L18" s="14" t="n">
        <x:f>IF(AND(J18&gt;0,OR('분석조건'!$B$7="all",C18='분석조건'!$B$7),OR('분석조건'!$B$8="all",D18='분석조건'!$B$8),OR('분석조건'!$B$9="all",AND('분석조건'!$B$9="revised",I18&gt;0),AND('분석조건'!$B$9="unrevised",I18=0)),ISNUMBER(SEARCH(SUBSTITUTE(SUBSTITUTE(SUBSTITUTE('분석조건'!$B$12,"~","~~"),"*","~*"),"?","~?"),A18&amp;" "&amp;B18&amp;" "&amp;C18))),1,0)</x:f>
        <x:v>1</x:v>
      </x:c>
      <x:c r="M18" s="14" t="n">
        <x:f>IF(AND(L18=1,K18&gt;'분석조건'!$B$10),1,0)</x:f>
        <x:v>1</x:v>
      </x:c>
      <x:c r="N18" s="24" t="n">
        <x:f>IF(L18=1,K18,"")</x:f>
        <x:v>3904</x:v>
      </x:c>
    </x:row>
    <x:row r="19" ht="78" customHeight="1">
      <x:c r="A19" s="2" t="str">
        <x:v>03A-002</x:v>
      </x:c>
      <x:c r="B19" s="13" t="str">
        <x:v>연료 전환 사업의 방법론</x:v>
      </x:c>
      <x:c r="C19" s="13" t="str">
        <x:v>에너지 수요</x:v>
      </x:c>
      <x:c r="D19" s="2" t="str">
        <x:v>직권등록</x:v>
      </x:c>
      <x:c r="E19" s="13" t="str">
        <x:v>https://ors.gir.go.kr/home/orme010/historyRead.do?methdSeq=466&amp;menuId=12</x:v>
      </x:c>
      <x:c r="F19" s="15" t="n">
        <x:f>IF(J19=0,"",_xlfn.MAXIFS('버전'!$E$7:$E$46,'버전'!$B$7:$B$46,A19,'버전'!$E$7:$E$46,"&lt;="&amp;'분석조건'!$B$5))</x:f>
        <x:v>45447</x:v>
      </x:c>
      <x:c r="G19" s="16" t="n">
        <x:f>IF(J19=0,"",_xlfn.MAXIFS('버전'!$H$7:$H$46,'버전'!$B$7:$B$46,A19,'버전'!$E$7:$E$46,F19))</x:f>
        <x:v>3</x:v>
      </x:c>
      <x:c r="H19" s="15" t="n">
        <x:f>IF(COUNTIFS('버전'!$B$7:$B$46,A19,'버전'!$D$7:$D$46,"new",'버전'!$E$7:$E$46,"&lt;="&amp;'분석조건'!$B$5)=0,"",_xlfn.MINIFS('버전'!$E$7:$E$46,'버전'!$B$7:$B$46,A19,'버전'!$D$7:$D$46,"new",'버전'!$E$7:$E$46,"&lt;="&amp;'분석조건'!$B$5))</x:f>
        <x:v>42115</x:v>
      </x:c>
      <x:c r="I19" s="14" t="n">
        <x:f>COUNTIFS('버전'!$B$7:$B$46,A19,'버전'!$D$7:$D$46,"revision",'버전'!$E$7:$E$46,"&lt;="&amp;'분석조건'!$B$5)</x:f>
        <x:v>2</x:v>
      </x:c>
      <x:c r="J19" s="14" t="n">
        <x:f>COUNTIFS('버전'!$B$7:$B$46,A19,'버전'!$E$7:$E$46,"&lt;="&amp;'분석조건'!$B$5)</x:f>
        <x:v>3</x:v>
      </x:c>
      <x:c r="K19" s="14" t="n">
        <x:f>IF(J19=0,"",'분석조건'!$B$5-F19)</x:f>
        <x:v>862</x:v>
      </x:c>
      <x:c r="L19" s="14" t="n">
        <x:f>IF(AND(J19&gt;0,OR('분석조건'!$B$7="all",C19='분석조건'!$B$7),OR('분석조건'!$B$8="all",D19='분석조건'!$B$8),OR('분석조건'!$B$9="all",AND('분석조건'!$B$9="revised",I19&gt;0),AND('분석조건'!$B$9="unrevised",I19=0)),ISNUMBER(SEARCH(SUBSTITUTE(SUBSTITUTE(SUBSTITUTE('분석조건'!$B$12,"~","~~"),"*","~*"),"?","~?"),A19&amp;" "&amp;B19&amp;" "&amp;C19))),1,0)</x:f>
        <x:v>1</x:v>
      </x:c>
      <x:c r="M19" s="14" t="n">
        <x:f>IF(AND(L19=1,K19&gt;'분석조건'!$B$10),1,0)</x:f>
        <x:v>0</x:v>
      </x:c>
      <x:c r="N19" s="24" t="n">
        <x:f>IF(L19=1,K19,"")</x:f>
        <x:v>862</x:v>
      </x:c>
    </x:row>
    <x:row r="20" ht="78" customHeight="1">
      <x:c r="A20" s="2" t="str">
        <x:v>03A-003</x:v>
      </x:c>
      <x:c r="B20" s="13" t="str">
        <x:v>전력절감설비 설치사업의 방법론</x:v>
      </x:c>
      <x:c r="C20" s="13" t="str">
        <x:v>에너지 수요</x:v>
      </x:c>
      <x:c r="D20" s="2" t="str">
        <x:v>직권등록</x:v>
      </x:c>
      <x:c r="E20" s="13" t="str">
        <x:v>https://ors.gir.go.kr/home/orme010/historyRead.do?methdSeq=22&amp;menuId=12</x:v>
      </x:c>
      <x:c r="F20" s="15" t="n">
        <x:f>IF(J20=0,"",_xlfn.MAXIFS('버전'!$E$7:$E$46,'버전'!$B$7:$B$46,A20,'버전'!$E$7:$E$46,"&lt;="&amp;'분석조건'!$B$5))</x:f>
        <x:v>42115</x:v>
      </x:c>
      <x:c r="G20" s="16" t="n">
        <x:f>IF(J20=0,"",_xlfn.MAXIFS('버전'!$H$7:$H$46,'버전'!$B$7:$B$46,A20,'버전'!$E$7:$E$46,F20))</x:f>
        <x:v>1</x:v>
      </x:c>
      <x:c r="H20" s="15" t="n">
        <x:f>IF(COUNTIFS('버전'!$B$7:$B$46,A20,'버전'!$D$7:$D$46,"new",'버전'!$E$7:$E$46,"&lt;="&amp;'분석조건'!$B$5)=0,"",_xlfn.MINIFS('버전'!$E$7:$E$46,'버전'!$B$7:$B$46,A20,'버전'!$D$7:$D$46,"new",'버전'!$E$7:$E$46,"&lt;="&amp;'분석조건'!$B$5))</x:f>
        <x:v>42115</x:v>
      </x:c>
      <x:c r="I20" s="14" t="n">
        <x:f>COUNTIFS('버전'!$B$7:$B$46,A20,'버전'!$D$7:$D$46,"revision",'버전'!$E$7:$E$46,"&lt;="&amp;'분석조건'!$B$5)</x:f>
        <x:v>0</x:v>
      </x:c>
      <x:c r="J20" s="14" t="n">
        <x:f>COUNTIFS('버전'!$B$7:$B$46,A20,'버전'!$E$7:$E$46,"&lt;="&amp;'분석조건'!$B$5)</x:f>
        <x:v>1</x:v>
      </x:c>
      <x:c r="K20" s="14" t="n">
        <x:f>IF(J20=0,"",'분석조건'!$B$5-F20)</x:f>
        <x:v>4194</x:v>
      </x:c>
      <x:c r="L20" s="14" t="n">
        <x:f>IF(AND(J20&gt;0,OR('분석조건'!$B$7="all",C20='분석조건'!$B$7),OR('분석조건'!$B$8="all",D20='분석조건'!$B$8),OR('분석조건'!$B$9="all",AND('분석조건'!$B$9="revised",I20&gt;0),AND('분석조건'!$B$9="unrevised",I20=0)),ISNUMBER(SEARCH(SUBSTITUTE(SUBSTITUTE(SUBSTITUTE('분석조건'!$B$12,"~","~~"),"*","~*"),"?","~?"),A20&amp;" "&amp;B20&amp;" "&amp;C20))),1,0)</x:f>
        <x:v>1</x:v>
      </x:c>
      <x:c r="M20" s="14" t="n">
        <x:f>IF(AND(L20=1,K20&gt;'분석조건'!$B$10),1,0)</x:f>
        <x:v>1</x:v>
      </x:c>
      <x:c r="N20" s="24" t="n">
        <x:f>IF(L20=1,K20,"")</x:f>
        <x:v>4194</x:v>
      </x:c>
    </x:row>
    <x:row r="21" ht="78" customHeight="1">
      <x:c r="A21" s="2" t="str">
        <x:v>03A-004</x:v>
      </x:c>
      <x:c r="B21" s="13" t="str">
        <x:v>고효율 설비 교체 사업의 방법론</x:v>
      </x:c>
      <x:c r="C21" s="13" t="str">
        <x:v>에너지 수요</x:v>
      </x:c>
      <x:c r="D21" s="2" t="str">
        <x:v>직권등록</x:v>
      </x:c>
      <x:c r="E21" s="13" t="str">
        <x:v>https://ors.gir.go.kr/home/orme010/historyRead.do?methdSeq=23&amp;menuId=12</x:v>
      </x:c>
      <x:c r="F21" s="15" t="n">
        <x:f>IF(J21=0,"",_xlfn.MAXIFS('버전'!$E$7:$E$46,'버전'!$B$7:$B$46,A21,'버전'!$E$7:$E$46,"&lt;="&amp;'분석조건'!$B$5))</x:f>
        <x:v>42115</x:v>
      </x:c>
      <x:c r="G21" s="16" t="n">
        <x:f>IF(J21=0,"",_xlfn.MAXIFS('버전'!$H$7:$H$46,'버전'!$B$7:$B$46,A21,'버전'!$E$7:$E$46,F21))</x:f>
        <x:v>1</x:v>
      </x:c>
      <x:c r="H21" s="15" t="n">
        <x:f>IF(COUNTIFS('버전'!$B$7:$B$46,A21,'버전'!$D$7:$D$46,"new",'버전'!$E$7:$E$46,"&lt;="&amp;'분석조건'!$B$5)=0,"",_xlfn.MINIFS('버전'!$E$7:$E$46,'버전'!$B$7:$B$46,A21,'버전'!$D$7:$D$46,"new",'버전'!$E$7:$E$46,"&lt;="&amp;'분석조건'!$B$5))</x:f>
        <x:v>42115</x:v>
      </x:c>
      <x:c r="I21" s="14" t="n">
        <x:f>COUNTIFS('버전'!$B$7:$B$46,A21,'버전'!$D$7:$D$46,"revision",'버전'!$E$7:$E$46,"&lt;="&amp;'분석조건'!$B$5)</x:f>
        <x:v>0</x:v>
      </x:c>
      <x:c r="J21" s="14" t="n">
        <x:f>COUNTIFS('버전'!$B$7:$B$46,A21,'버전'!$E$7:$E$46,"&lt;="&amp;'분석조건'!$B$5)</x:f>
        <x:v>1</x:v>
      </x:c>
      <x:c r="K21" s="14" t="n">
        <x:f>IF(J21=0,"",'분석조건'!$B$5-F21)</x:f>
        <x:v>4194</x:v>
      </x:c>
      <x:c r="L21" s="14" t="n">
        <x:f>IF(AND(J21&gt;0,OR('분석조건'!$B$7="all",C21='분석조건'!$B$7),OR('분석조건'!$B$8="all",D21='분석조건'!$B$8),OR('분석조건'!$B$9="all",AND('분석조건'!$B$9="revised",I21&gt;0),AND('분석조건'!$B$9="unrevised",I21=0)),ISNUMBER(SEARCH(SUBSTITUTE(SUBSTITUTE(SUBSTITUTE('분석조건'!$B$12,"~","~~"),"*","~*"),"?","~?"),A21&amp;" "&amp;B21&amp;" "&amp;C21))),1,0)</x:f>
        <x:v>1</x:v>
      </x:c>
      <x:c r="M21" s="14" t="n">
        <x:f>IF(AND(L21=1,K21&gt;'분석조건'!$B$10),1,0)</x:f>
        <x:v>1</x:v>
      </x:c>
      <x:c r="N21" s="24" t="n">
        <x:f>IF(L21=1,K21,"")</x:f>
        <x:v>4194</x:v>
      </x:c>
    </x:row>
    <x:row r="22" ht="78" customHeight="1">
      <x:c r="A22" s="2" t="str">
        <x:v>03A-006</x:v>
      </x:c>
      <x:c r="B22" s="13" t="str">
        <x:v>고효율 도로조명 설치 사업의 방법론</x:v>
      </x:c>
      <x:c r="C22" s="13" t="str">
        <x:v>에너지 수요</x:v>
      </x:c>
      <x:c r="D22" s="2" t="str">
        <x:v>직권등록</x:v>
      </x:c>
      <x:c r="E22" s="13" t="str">
        <x:v>https://ors.gir.go.kr/home/orme010/historyRead.do?methdSeq=25&amp;menuId=12</x:v>
      </x:c>
      <x:c r="F22" s="15" t="n">
        <x:f>IF(J22=0,"",_xlfn.MAXIFS('버전'!$E$7:$E$46,'버전'!$B$7:$B$46,A22,'버전'!$E$7:$E$46,"&lt;="&amp;'분석조건'!$B$5))</x:f>
        <x:v>42115</x:v>
      </x:c>
      <x:c r="G22" s="16" t="n">
        <x:f>IF(J22=0,"",_xlfn.MAXIFS('버전'!$H$7:$H$46,'버전'!$B$7:$B$46,A22,'버전'!$E$7:$E$46,F22))</x:f>
        <x:v>1</x:v>
      </x:c>
      <x:c r="H22" s="15" t="n">
        <x:f>IF(COUNTIFS('버전'!$B$7:$B$46,A22,'버전'!$D$7:$D$46,"new",'버전'!$E$7:$E$46,"&lt;="&amp;'분석조건'!$B$5)=0,"",_xlfn.MINIFS('버전'!$E$7:$E$46,'버전'!$B$7:$B$46,A22,'버전'!$D$7:$D$46,"new",'버전'!$E$7:$E$46,"&lt;="&amp;'분석조건'!$B$5))</x:f>
        <x:v>42115</x:v>
      </x:c>
      <x:c r="I22" s="14" t="n">
        <x:f>COUNTIFS('버전'!$B$7:$B$46,A22,'버전'!$D$7:$D$46,"revision",'버전'!$E$7:$E$46,"&lt;="&amp;'분석조건'!$B$5)</x:f>
        <x:v>0</x:v>
      </x:c>
      <x:c r="J22" s="14" t="n">
        <x:f>COUNTIFS('버전'!$B$7:$B$46,A22,'버전'!$E$7:$E$46,"&lt;="&amp;'분석조건'!$B$5)</x:f>
        <x:v>1</x:v>
      </x:c>
      <x:c r="K22" s="14" t="n">
        <x:f>IF(J22=0,"",'분석조건'!$B$5-F22)</x:f>
        <x:v>4194</x:v>
      </x:c>
      <x:c r="L22" s="14" t="n">
        <x:f>IF(AND(J22&gt;0,OR('분석조건'!$B$7="all",C22='분석조건'!$B$7),OR('분석조건'!$B$8="all",D22='분석조건'!$B$8),OR('분석조건'!$B$9="all",AND('분석조건'!$B$9="revised",I22&gt;0),AND('분석조건'!$B$9="unrevised",I22=0)),ISNUMBER(SEARCH(SUBSTITUTE(SUBSTITUTE(SUBSTITUTE('분석조건'!$B$12,"~","~~"),"*","~*"),"?","~?"),A22&amp;" "&amp;B22&amp;" "&amp;C22))),1,0)</x:f>
        <x:v>1</x:v>
      </x:c>
      <x:c r="M22" s="14" t="n">
        <x:f>IF(AND(L22=1,K22&gt;'분석조건'!$B$10),1,0)</x:f>
        <x:v>1</x:v>
      </x:c>
      <x:c r="N22" s="24" t="n">
        <x:f>IF(L22=1,K22,"")</x:f>
        <x:v>4194</x:v>
      </x:c>
    </x:row>
    <x:row r="23" ht="78" customHeight="1">
      <x:c r="A23" s="2" t="str">
        <x:v>03A-008</x:v>
      </x:c>
      <x:c r="B23" s="13" t="str">
        <x:v>미활용 열에너지 회수를 통한 전력생산 및 계통연게 사업의 방법론</x:v>
      </x:c>
      <x:c r="C23" s="13" t="str">
        <x:v>에너지 수요</x:v>
      </x:c>
      <x:c r="D23" s="2" t="str">
        <x:v>직권등록</x:v>
      </x:c>
      <x:c r="E23" s="13" t="str">
        <x:v>https://ors.gir.go.kr/home/orme010/historyRead.do?methdSeq=42&amp;menuId=12</x:v>
      </x:c>
      <x:c r="F23" s="15" t="n">
        <x:f>IF(J23=0,"",_xlfn.MAXIFS('버전'!$E$7:$E$46,'버전'!$B$7:$B$46,A23,'버전'!$E$7:$E$46,"&lt;="&amp;'분석조건'!$B$5))</x:f>
        <x:v>42405</x:v>
      </x:c>
      <x:c r="G23" s="16" t="n">
        <x:f>IF(J23=0,"",_xlfn.MAXIFS('버전'!$H$7:$H$46,'버전'!$B$7:$B$46,A23,'버전'!$E$7:$E$46,F23))</x:f>
        <x:v>1</x:v>
      </x:c>
      <x:c r="H23" s="15" t="n">
        <x:f>IF(COUNTIFS('버전'!$B$7:$B$46,A23,'버전'!$D$7:$D$46,"new",'버전'!$E$7:$E$46,"&lt;="&amp;'분석조건'!$B$5)=0,"",_xlfn.MINIFS('버전'!$E$7:$E$46,'버전'!$B$7:$B$46,A23,'버전'!$D$7:$D$46,"new",'버전'!$E$7:$E$46,"&lt;="&amp;'분석조건'!$B$5))</x:f>
        <x:v>42405</x:v>
      </x:c>
      <x:c r="I23" s="14" t="n">
        <x:f>COUNTIFS('버전'!$B$7:$B$46,A23,'버전'!$D$7:$D$46,"revision",'버전'!$E$7:$E$46,"&lt;="&amp;'분석조건'!$B$5)</x:f>
        <x:v>0</x:v>
      </x:c>
      <x:c r="J23" s="14" t="n">
        <x:f>COUNTIFS('버전'!$B$7:$B$46,A23,'버전'!$E$7:$E$46,"&lt;="&amp;'분석조건'!$B$5)</x:f>
        <x:v>1</x:v>
      </x:c>
      <x:c r="K23" s="14" t="n">
        <x:f>IF(J23=0,"",'분석조건'!$B$5-F23)</x:f>
        <x:v>3904</x:v>
      </x:c>
      <x:c r="L23" s="14" t="n">
        <x:f>IF(AND(J23&gt;0,OR('분석조건'!$B$7="all",C23='분석조건'!$B$7),OR('분석조건'!$B$8="all",D23='분석조건'!$B$8),OR('분석조건'!$B$9="all",AND('분석조건'!$B$9="revised",I23&gt;0),AND('분석조건'!$B$9="unrevised",I23=0)),ISNUMBER(SEARCH(SUBSTITUTE(SUBSTITUTE(SUBSTITUTE('분석조건'!$B$12,"~","~~"),"*","~*"),"?","~?"),A23&amp;" "&amp;B23&amp;" "&amp;C23))),1,0)</x:f>
        <x:v>1</x:v>
      </x:c>
      <x:c r="M23" s="14" t="n">
        <x:f>IF(AND(L23=1,K23&gt;'분석조건'!$B$10),1,0)</x:f>
        <x:v>1</x:v>
      </x:c>
      <x:c r="N23" s="24" t="n">
        <x:f>IF(L23=1,K23,"")</x:f>
        <x:v>3904</x:v>
      </x:c>
    </x:row>
    <x:row r="24" ht="78" customHeight="1">
      <x:c r="A24" s="2" t="str">
        <x:v>03A-013</x:v>
      </x:c>
      <x:c r="B24" s="13" t="str">
        <x:v>주거용 시설의 심야 전기보일러에서 축열식 히트펌프 보일러로 교체 사업의 방법론</x:v>
      </x:c>
      <x:c r="C24" s="13" t="str">
        <x:v>에너지 수요</x:v>
      </x:c>
      <x:c r="D24" s="2" t="str">
        <x:v>신청등록</x:v>
      </x:c>
      <x:c r="E24" s="13" t="str">
        <x:v>https://ors.gir.go.kr/home/orme010/historyRead.do?methdSeq=50&amp;menuId=12</x:v>
      </x:c>
      <x:c r="F24" s="15" t="n">
        <x:f>IF(J24=0,"",_xlfn.MAXIFS('버전'!$E$7:$E$46,'버전'!$B$7:$B$46,A24,'버전'!$E$7:$E$46,"&lt;="&amp;'분석조건'!$B$5))</x:f>
        <x:v>43081</x:v>
      </x:c>
      <x:c r="G24" s="16" t="n">
        <x:f>IF(J24=0,"",_xlfn.MAXIFS('버전'!$H$7:$H$46,'버전'!$B$7:$B$46,A24,'버전'!$E$7:$E$46,F24))</x:f>
        <x:v>1</x:v>
      </x:c>
      <x:c r="H24" s="15" t="n">
        <x:f>IF(COUNTIFS('버전'!$B$7:$B$46,A24,'버전'!$D$7:$D$46,"new",'버전'!$E$7:$E$46,"&lt;="&amp;'분석조건'!$B$5)=0,"",_xlfn.MINIFS('버전'!$E$7:$E$46,'버전'!$B$7:$B$46,A24,'버전'!$D$7:$D$46,"new",'버전'!$E$7:$E$46,"&lt;="&amp;'분석조건'!$B$5))</x:f>
        <x:v>43081</x:v>
      </x:c>
      <x:c r="I24" s="14" t="n">
        <x:f>COUNTIFS('버전'!$B$7:$B$46,A24,'버전'!$D$7:$D$46,"revision",'버전'!$E$7:$E$46,"&lt;="&amp;'분석조건'!$B$5)</x:f>
        <x:v>0</x:v>
      </x:c>
      <x:c r="J24" s="14" t="n">
        <x:f>COUNTIFS('버전'!$B$7:$B$46,A24,'버전'!$E$7:$E$46,"&lt;="&amp;'분석조건'!$B$5)</x:f>
        <x:v>1</x:v>
      </x:c>
      <x:c r="K24" s="14" t="n">
        <x:f>IF(J24=0,"",'분석조건'!$B$5-F24)</x:f>
        <x:v>3228</x:v>
      </x:c>
      <x:c r="L24" s="14" t="n">
        <x:f>IF(AND(J24&gt;0,OR('분석조건'!$B$7="all",C24='분석조건'!$B$7),OR('분석조건'!$B$8="all",D24='분석조건'!$B$8),OR('분석조건'!$B$9="all",AND('분석조건'!$B$9="revised",I24&gt;0),AND('분석조건'!$B$9="unrevised",I24=0)),ISNUMBER(SEARCH(SUBSTITUTE(SUBSTITUTE(SUBSTITUTE('분석조건'!$B$12,"~","~~"),"*","~*"),"?","~?"),A24&amp;" "&amp;B24&amp;" "&amp;C24))),1,0)</x:f>
        <x:v>1</x:v>
      </x:c>
      <x:c r="M24" s="14" t="n">
        <x:f>IF(AND(L24=1,K24&gt;'분석조건'!$B$10),1,0)</x:f>
        <x:v>1</x:v>
      </x:c>
      <x:c r="N24" s="24" t="n">
        <x:f>IF(L24=1,K24,"")</x:f>
        <x:v>3228</x:v>
      </x:c>
    </x:row>
    <x:row r="25" ht="78" customHeight="1">
      <x:c r="A25" s="2" t="str">
        <x:v>03A-016</x:v>
      </x:c>
      <x:c r="B25" s="13" t="str">
        <x:v>LPG집단공급시설 설치를 통한 연료 전환 사업의 방법론</x:v>
      </x:c>
      <x:c r="C25" s="13" t="str">
        <x:v>에너지 수요</x:v>
      </x:c>
      <x:c r="D25" s="2" t="str">
        <x:v>직권등록</x:v>
      </x:c>
      <x:c r="E25" s="13" t="str">
        <x:v>https://ors.gir.go.kr/home/orme010/historyRead.do?methdSeq=337&amp;menuId=12</x:v>
      </x:c>
      <x:c r="F25" s="15" t="n">
        <x:f>IF(J25=0,"",_xlfn.MAXIFS('버전'!$E$7:$E$46,'버전'!$B$7:$B$46,A25,'버전'!$E$7:$E$46,"&lt;="&amp;'분석조건'!$B$5))</x:f>
        <x:v>43886</x:v>
      </x:c>
      <x:c r="G25" s="16" t="n">
        <x:f>IF(J25=0,"",_xlfn.MAXIFS('버전'!$H$7:$H$46,'버전'!$B$7:$B$46,A25,'버전'!$E$7:$E$46,F25))</x:f>
        <x:v>1</x:v>
      </x:c>
      <x:c r="H25" s="15" t="n">
        <x:f>IF(COUNTIFS('버전'!$B$7:$B$46,A25,'버전'!$D$7:$D$46,"new",'버전'!$E$7:$E$46,"&lt;="&amp;'분석조건'!$B$5)=0,"",_xlfn.MINIFS('버전'!$E$7:$E$46,'버전'!$B$7:$B$46,A25,'버전'!$D$7:$D$46,"new",'버전'!$E$7:$E$46,"&lt;="&amp;'분석조건'!$B$5))</x:f>
        <x:v>43886</x:v>
      </x:c>
      <x:c r="I25" s="14" t="n">
        <x:f>COUNTIFS('버전'!$B$7:$B$46,A25,'버전'!$D$7:$D$46,"revision",'버전'!$E$7:$E$46,"&lt;="&amp;'분석조건'!$B$5)</x:f>
        <x:v>0</x:v>
      </x:c>
      <x:c r="J25" s="14" t="n">
        <x:f>COUNTIFS('버전'!$B$7:$B$46,A25,'버전'!$E$7:$E$46,"&lt;="&amp;'분석조건'!$B$5)</x:f>
        <x:v>1</x:v>
      </x:c>
      <x:c r="K25" s="14" t="n">
        <x:f>IF(J25=0,"",'분석조건'!$B$5-F25)</x:f>
        <x:v>2423</x:v>
      </x:c>
      <x:c r="L25" s="14" t="n">
        <x:f>IF(AND(J25&gt;0,OR('분석조건'!$B$7="all",C25='분석조건'!$B$7),OR('분석조건'!$B$8="all",D25='분석조건'!$B$8),OR('분석조건'!$B$9="all",AND('분석조건'!$B$9="revised",I25&gt;0),AND('분석조건'!$B$9="unrevised",I25=0)),ISNUMBER(SEARCH(SUBSTITUTE(SUBSTITUTE(SUBSTITUTE('분석조건'!$B$12,"~","~~"),"*","~*"),"?","~?"),A25&amp;" "&amp;B25&amp;" "&amp;C25))),1,0)</x:f>
        <x:v>1</x:v>
      </x:c>
      <x:c r="M25" s="14" t="n">
        <x:f>IF(AND(L25=1,K25&gt;'분석조건'!$B$10),1,0)</x:f>
        <x:v>1</x:v>
      </x:c>
      <x:c r="N25" s="24" t="n">
        <x:f>IF(L25=1,K25,"")</x:f>
        <x:v>2423</x:v>
      </x:c>
    </x:row>
    <x:row r="26" ht="78" customHeight="1">
      <x:c r="A26" s="2" t="str">
        <x:v>03A-018</x:v>
      </x:c>
      <x:c r="B26" s="13" t="str">
        <x:v>Single RAN 설비를 도입하여 legacy 전기통신설비를 대체하는 사업의 방법론</x:v>
      </x:c>
      <x:c r="C26" s="13" t="str">
        <x:v>에너지 수요</x:v>
      </x:c>
      <x:c r="D26" s="2" t="str">
        <x:v>신청등록</x:v>
      </x:c>
      <x:c r="E26" s="13" t="str">
        <x:v>https://ors.gir.go.kr/home/orme010/historyRead.do?methdSeq=333&amp;menuId=12</x:v>
      </x:c>
      <x:c r="F26" s="15" t="n">
        <x:f>IF(J26=0,"",_xlfn.MAXIFS('버전'!$E$7:$E$46,'버전'!$B$7:$B$46,A26,'버전'!$E$7:$E$46,"&lt;="&amp;'분석조건'!$B$5))</x:f>
        <x:v>44120</x:v>
      </x:c>
      <x:c r="G26" s="16" t="n">
        <x:f>IF(J26=0,"",_xlfn.MAXIFS('버전'!$H$7:$H$46,'버전'!$B$7:$B$46,A26,'버전'!$E$7:$E$46,F26))</x:f>
        <x:v>1</x:v>
      </x:c>
      <x:c r="H26" s="15" t="n">
        <x:f>IF(COUNTIFS('버전'!$B$7:$B$46,A26,'버전'!$D$7:$D$46,"new",'버전'!$E$7:$E$46,"&lt;="&amp;'분석조건'!$B$5)=0,"",_xlfn.MINIFS('버전'!$E$7:$E$46,'버전'!$B$7:$B$46,A26,'버전'!$D$7:$D$46,"new",'버전'!$E$7:$E$46,"&lt;="&amp;'분석조건'!$B$5))</x:f>
        <x:v>44120</x:v>
      </x:c>
      <x:c r="I26" s="14" t="n">
        <x:f>COUNTIFS('버전'!$B$7:$B$46,A26,'버전'!$D$7:$D$46,"revision",'버전'!$E$7:$E$46,"&lt;="&amp;'분석조건'!$B$5)</x:f>
        <x:v>0</x:v>
      </x:c>
      <x:c r="J26" s="14" t="n">
        <x:f>COUNTIFS('버전'!$B$7:$B$46,A26,'버전'!$E$7:$E$46,"&lt;="&amp;'분석조건'!$B$5)</x:f>
        <x:v>1</x:v>
      </x:c>
      <x:c r="K26" s="14" t="n">
        <x:f>IF(J26=0,"",'분석조건'!$B$5-F26)</x:f>
        <x:v>2189</x:v>
      </x:c>
      <x:c r="L26" s="14" t="n">
        <x:f>IF(AND(J26&gt;0,OR('분석조건'!$B$7="all",C26='분석조건'!$B$7),OR('분석조건'!$B$8="all",D26='분석조건'!$B$8),OR('분석조건'!$B$9="all",AND('분석조건'!$B$9="revised",I26&gt;0),AND('분석조건'!$B$9="unrevised",I26=0)),ISNUMBER(SEARCH(SUBSTITUTE(SUBSTITUTE(SUBSTITUTE('분석조건'!$B$12,"~","~~"),"*","~*"),"?","~?"),A26&amp;" "&amp;B26&amp;" "&amp;C26))),1,0)</x:f>
        <x:v>1</x:v>
      </x:c>
      <x:c r="M26" s="14" t="n">
        <x:f>IF(AND(L26=1,K26&gt;'분석조건'!$B$10),1,0)</x:f>
        <x:v>1</x:v>
      </x:c>
      <x:c r="N26" s="24" t="n">
        <x:f>IF(L26=1,K26,"")</x:f>
        <x:v>2189</x:v>
      </x:c>
    </x:row>
    <x:row r="27" ht="78" customHeight="1">
      <x:c r="A27" s="2" t="str">
        <x:v>03A-027</x:v>
      </x:c>
      <x:c r="B27" s="13" t="str">
        <x:v>미활용 LNG 기화 냉열 활용을 통한 전력 및 또는 화석연료 사용 절감 사업의 방법론</x:v>
      </x:c>
      <x:c r="C27" s="13" t="str">
        <x:v>에너지 수요</x:v>
      </x:c>
      <x:c r="D27" s="2" t="str">
        <x:v>신청등록</x:v>
      </x:c>
      <x:c r="E27" s="13" t="str">
        <x:v>https://ors.gir.go.kr/home/orme010/historyRead.do?methdSeq=440&amp;menuId=12</x:v>
      </x:c>
      <x:c r="F27" s="15" t="n">
        <x:f>IF(J27=0,"",_xlfn.MAXIFS('버전'!$E$7:$E$46,'버전'!$B$7:$B$46,A27,'버전'!$E$7:$E$46,"&lt;="&amp;'분석조건'!$B$5))</x:f>
        <x:v>45359</x:v>
      </x:c>
      <x:c r="G27" s="16" t="n">
        <x:f>IF(J27=0,"",_xlfn.MAXIFS('버전'!$H$7:$H$46,'버전'!$B$7:$B$46,A27,'버전'!$E$7:$E$46,F27))</x:f>
        <x:v>1</x:v>
      </x:c>
      <x:c r="H27" s="15" t="n">
        <x:f>IF(COUNTIFS('버전'!$B$7:$B$46,A27,'버전'!$D$7:$D$46,"new",'버전'!$E$7:$E$46,"&lt;="&amp;'분석조건'!$B$5)=0,"",_xlfn.MINIFS('버전'!$E$7:$E$46,'버전'!$B$7:$B$46,A27,'버전'!$D$7:$D$46,"new",'버전'!$E$7:$E$46,"&lt;="&amp;'분석조건'!$B$5))</x:f>
        <x:v>45359</x:v>
      </x:c>
      <x:c r="I27" s="14" t="n">
        <x:f>COUNTIFS('버전'!$B$7:$B$46,A27,'버전'!$D$7:$D$46,"revision",'버전'!$E$7:$E$46,"&lt;="&amp;'분석조건'!$B$5)</x:f>
        <x:v>0</x:v>
      </x:c>
      <x:c r="J27" s="14" t="n">
        <x:f>COUNTIFS('버전'!$B$7:$B$46,A27,'버전'!$E$7:$E$46,"&lt;="&amp;'분석조건'!$B$5)</x:f>
        <x:v>1</x:v>
      </x:c>
      <x:c r="K27" s="14" t="n">
        <x:f>IF(J27=0,"",'분석조건'!$B$5-F27)</x:f>
        <x:v>950</x:v>
      </x:c>
      <x:c r="L27" s="14" t="n">
        <x:f>IF(AND(J27&gt;0,OR('분석조건'!$B$7="all",C27='분석조건'!$B$7),OR('분석조건'!$B$8="all",D27='분석조건'!$B$8),OR('분석조건'!$B$9="all",AND('분석조건'!$B$9="revised",I27&gt;0),AND('분석조건'!$B$9="unrevised",I27=0)),ISNUMBER(SEARCH(SUBSTITUTE(SUBSTITUTE(SUBSTITUTE('분석조건'!$B$12,"~","~~"),"*","~*"),"?","~?"),A27&amp;" "&amp;B27&amp;" "&amp;C27))),1,0)</x:f>
        <x:v>1</x:v>
      </x:c>
      <x:c r="M27" s="14" t="n">
        <x:f>IF(AND(L27=1,K27&gt;'분석조건'!$B$10),1,0)</x:f>
        <x:v>0</x:v>
      </x:c>
      <x:c r="N27" s="24" t="n">
        <x:f>IF(L27=1,K27,"")</x:f>
        <x:v>950</x:v>
      </x:c>
    </x:row>
    <x:row r="28" ht="78" customHeight="1">
      <x:c r="A28" s="2" t="str">
        <x:v>03A-030</x:v>
      </x:c>
      <x:c r="B28" s="13" t="str">
        <x:v>미활용 열에너지 회수 및 이용 또는 계통연계 사업의 방법론</x:v>
      </x:c>
      <x:c r="C28" s="13" t="str">
        <x:v>에너지 수요</x:v>
      </x:c>
      <x:c r="D28" s="2" t="str">
        <x:v>직권등록</x:v>
      </x:c>
      <x:c r="E28" s="13" t="str">
        <x:v>https://ors.gir.go.kr/home/orme010/historyRead.do?methdSeq=531&amp;menuId=12</x:v>
      </x:c>
      <x:c r="F28" s="15" t="n">
        <x:f>IF(J28=0,"",_xlfn.MAXIFS('버전'!$E$7:$E$46,'버전'!$B$7:$B$46,A28,'버전'!$E$7:$E$46,"&lt;="&amp;'분석조건'!$B$5))</x:f>
        <x:v>45993</x:v>
      </x:c>
      <x:c r="G28" s="16" t="n">
        <x:f>IF(J28=0,"",_xlfn.MAXIFS('버전'!$H$7:$H$46,'버전'!$B$7:$B$46,A28,'버전'!$E$7:$E$46,F28))</x:f>
        <x:v>2</x:v>
      </x:c>
      <x:c r="H28" s="15" t="n">
        <x:f>IF(COUNTIFS('버전'!$B$7:$B$46,A28,'버전'!$D$7:$D$46,"new",'버전'!$E$7:$E$46,"&lt;="&amp;'분석조건'!$B$5)=0,"",_xlfn.MINIFS('버전'!$E$7:$E$46,'버전'!$B$7:$B$46,A28,'버전'!$D$7:$D$46,"new",'버전'!$E$7:$E$46,"&lt;="&amp;'분석조건'!$B$5))</x:f>
        <x:v>45447</x:v>
      </x:c>
      <x:c r="I28" s="14" t="n">
        <x:f>COUNTIFS('버전'!$B$7:$B$46,A28,'버전'!$D$7:$D$46,"revision",'버전'!$E$7:$E$46,"&lt;="&amp;'분석조건'!$B$5)</x:f>
        <x:v>1</x:v>
      </x:c>
      <x:c r="J28" s="14" t="n">
        <x:f>COUNTIFS('버전'!$B$7:$B$46,A28,'버전'!$E$7:$E$46,"&lt;="&amp;'분석조건'!$B$5)</x:f>
        <x:v>2</x:v>
      </x:c>
      <x:c r="K28" s="14" t="n">
        <x:f>IF(J28=0,"",'분석조건'!$B$5-F28)</x:f>
        <x:v>316</x:v>
      </x:c>
      <x:c r="L28" s="14" t="n">
        <x:f>IF(AND(J28&gt;0,OR('분석조건'!$B$7="all",C28='분석조건'!$B$7),OR('분석조건'!$B$8="all",D28='분석조건'!$B$8),OR('분석조건'!$B$9="all",AND('분석조건'!$B$9="revised",I28&gt;0),AND('분석조건'!$B$9="unrevised",I28=0)),ISNUMBER(SEARCH(SUBSTITUTE(SUBSTITUTE(SUBSTITUTE('분석조건'!$B$12,"~","~~"),"*","~*"),"?","~?"),A28&amp;" "&amp;B28&amp;" "&amp;C28))),1,0)</x:f>
        <x:v>1</x:v>
      </x:c>
      <x:c r="M28" s="14" t="n">
        <x:f>IF(AND(L28=1,K28&gt;'분석조건'!$B$10),1,0)</x:f>
        <x:v>0</x:v>
      </x:c>
      <x:c r="N28" s="24" t="n">
        <x:f>IF(L28=1,K28,"")</x:f>
        <x:v>316</x:v>
      </x:c>
    </x:row>
    <x:row r="29" ht="78" customHeight="1">
      <x:c r="A29" s="2" t="str">
        <x:v>03A-033</x:v>
      </x:c>
      <x:c r="B29" s="13" t="str">
        <x:v>공동 통신망 기술 적용에 따른 온실가스 감축사업의 방법론</x:v>
      </x:c>
      <x:c r="C29" s="13" t="str">
        <x:v>에너지 수요</x:v>
      </x:c>
      <x:c r="D29" s="2" t="str">
        <x:v>신청등록</x:v>
      </x:c>
      <x:c r="E29" s="13" t="str">
        <x:v>https://ors.gir.go.kr/home/orme010/historyRead.do?methdSeq=436&amp;menuId=12</x:v>
      </x:c>
      <x:c r="F29" s="15" t="n">
        <x:f>IF(J29=0,"",_xlfn.MAXIFS('버전'!$E$7:$E$46,'버전'!$B$7:$B$46,A29,'버전'!$E$7:$E$46,"&lt;="&amp;'분석조건'!$B$5))</x:f>
        <x:v>45721</x:v>
      </x:c>
      <x:c r="G29" s="16" t="n">
        <x:f>IF(J29=0,"",_xlfn.MAXIFS('버전'!$H$7:$H$46,'버전'!$B$7:$B$46,A29,'버전'!$E$7:$E$46,F29))</x:f>
        <x:v>1</x:v>
      </x:c>
      <x:c r="H29" s="15" t="n">
        <x:f>IF(COUNTIFS('버전'!$B$7:$B$46,A29,'버전'!$D$7:$D$46,"new",'버전'!$E$7:$E$46,"&lt;="&amp;'분석조건'!$B$5)=0,"",_xlfn.MINIFS('버전'!$E$7:$E$46,'버전'!$B$7:$B$46,A29,'버전'!$D$7:$D$46,"new",'버전'!$E$7:$E$46,"&lt;="&amp;'분석조건'!$B$5))</x:f>
        <x:v>45721</x:v>
      </x:c>
      <x:c r="I29" s="14" t="n">
        <x:f>COUNTIFS('버전'!$B$7:$B$46,A29,'버전'!$D$7:$D$46,"revision",'버전'!$E$7:$E$46,"&lt;="&amp;'분석조건'!$B$5)</x:f>
        <x:v>0</x:v>
      </x:c>
      <x:c r="J29" s="14" t="n">
        <x:f>COUNTIFS('버전'!$B$7:$B$46,A29,'버전'!$E$7:$E$46,"&lt;="&amp;'분석조건'!$B$5)</x:f>
        <x:v>1</x:v>
      </x:c>
      <x:c r="K29" s="14" t="n">
        <x:f>IF(J29=0,"",'분석조건'!$B$5-F29)</x:f>
        <x:v>588</x:v>
      </x:c>
      <x:c r="L29" s="14" t="n">
        <x:f>IF(AND(J29&gt;0,OR('분석조건'!$B$7="all",C29='분석조건'!$B$7),OR('분석조건'!$B$8="all",D29='분석조건'!$B$8),OR('분석조건'!$B$9="all",AND('분석조건'!$B$9="revised",I29&gt;0),AND('분석조건'!$B$9="unrevised",I29=0)),ISNUMBER(SEARCH(SUBSTITUTE(SUBSTITUTE(SUBSTITUTE('분석조건'!$B$12,"~","~~"),"*","~*"),"?","~?"),A29&amp;" "&amp;B29&amp;" "&amp;C29))),1,0)</x:f>
        <x:v>1</x:v>
      </x:c>
      <x:c r="M29" s="14" t="n">
        <x:f>IF(AND(L29=1,K29&gt;'분석조건'!$B$10),1,0)</x:f>
        <x:v>0</x:v>
      </x:c>
      <x:c r="N29" s="24" t="n">
        <x:f>IF(L29=1,K29,"")</x:f>
        <x:v>588</x:v>
      </x:c>
    </x:row>
    <x:row r="30" ht="78" customHeight="1">
      <x:c r="A30" s="2" t="str">
        <x:v>04A-001</x:v>
      </x:c>
      <x:c r="B30" s="13" t="str">
        <x:v>혼합시멘트 생산에서 원료의 부분적인 전환 및 혼합재 비율 증가를 통한 온실가스 감축</x:v>
      </x:c>
      <x:c r="C30" s="13" t="str">
        <x:v>제조업</x:v>
      </x:c>
      <x:c r="D30" s="2" t="str">
        <x:v>신청등록</x:v>
      </x:c>
      <x:c r="E30" s="13" t="str">
        <x:v>https://ors.gir.go.kr/home/orme010/historyRead.do?methdSeq=330&amp;menuId=12</x:v>
      </x:c>
      <x:c r="F30" s="15" t="n">
        <x:f>IF(J30=0,"",_xlfn.MAXIFS('버전'!$E$7:$E$46,'버전'!$B$7:$B$46,A30,'버전'!$E$7:$E$46,"&lt;="&amp;'분석조건'!$B$5))</x:f>
        <x:v>44908</x:v>
      </x:c>
      <x:c r="G30" s="16" t="n">
        <x:f>IF(J30=0,"",_xlfn.MAXIFS('버전'!$H$7:$H$46,'버전'!$B$7:$B$46,A30,'버전'!$E$7:$E$46,F30))</x:f>
        <x:v>1</x:v>
      </x:c>
      <x:c r="H30" s="15" t="n">
        <x:f>IF(COUNTIFS('버전'!$B$7:$B$46,A30,'버전'!$D$7:$D$46,"new",'버전'!$E$7:$E$46,"&lt;="&amp;'분석조건'!$B$5)=0,"",_xlfn.MINIFS('버전'!$E$7:$E$46,'버전'!$B$7:$B$46,A30,'버전'!$D$7:$D$46,"new",'버전'!$E$7:$E$46,"&lt;="&amp;'분석조건'!$B$5))</x:f>
        <x:v>44908</x:v>
      </x:c>
      <x:c r="I30" s="14" t="n">
        <x:f>COUNTIFS('버전'!$B$7:$B$46,A30,'버전'!$D$7:$D$46,"revision",'버전'!$E$7:$E$46,"&lt;="&amp;'분석조건'!$B$5)</x:f>
        <x:v>0</x:v>
      </x:c>
      <x:c r="J30" s="14" t="n">
        <x:f>COUNTIFS('버전'!$B$7:$B$46,A30,'버전'!$E$7:$E$46,"&lt;="&amp;'분석조건'!$B$5)</x:f>
        <x:v>1</x:v>
      </x:c>
      <x:c r="K30" s="14" t="n">
        <x:f>IF(J30=0,"",'분석조건'!$B$5-F30)</x:f>
        <x:v>1401</x:v>
      </x:c>
      <x:c r="L30" s="14" t="n">
        <x:f>IF(AND(J30&gt;0,OR('분석조건'!$B$7="all",C30='분석조건'!$B$7),OR('분석조건'!$B$8="all",D30='분석조건'!$B$8),OR('분석조건'!$B$9="all",AND('분석조건'!$B$9="revised",I30&gt;0),AND('분석조건'!$B$9="unrevised",I30=0)),ISNUMBER(SEARCH(SUBSTITUTE(SUBSTITUTE(SUBSTITUTE('분석조건'!$B$12,"~","~~"),"*","~*"),"?","~?"),A30&amp;" "&amp;B30&amp;" "&amp;C30))),1,0)</x:f>
        <x:v>1</x:v>
      </x:c>
      <x:c r="M30" s="14" t="n">
        <x:f>IF(AND(L30=1,K30&gt;'분석조건'!$B$10),1,0)</x:f>
        <x:v>1</x:v>
      </x:c>
      <x:c r="N30" s="24" t="n">
        <x:f>IF(L30=1,K30,"")</x:f>
        <x:v>1401</x:v>
      </x:c>
    </x:row>
    <x:row r="31" ht="78" customHeight="1">
      <x:c r="A31" s="2" t="str">
        <x:v>04E-001</x:v>
      </x:c>
      <x:c r="B31" s="13" t="str">
        <x:v>제지공정에서 침강성탄산칼슘 제조과정의 미활용 CO2 이용과 에너지절감 사업의 방법론</x:v>
      </x:c>
      <x:c r="C31" s="13" t="str">
        <x:v>제조업</x:v>
      </x:c>
      <x:c r="D31" s="2" t="str">
        <x:v>신청등록</x:v>
      </x:c>
      <x:c r="E31" s="13" t="str">
        <x:v>https://ors.gir.go.kr/home/orme010/historyRead.do?methdSeq=369&amp;menuId=12</x:v>
      </x:c>
      <x:c r="F31" s="15" t="n">
        <x:f>IF(J31=0,"",_xlfn.MAXIFS('버전'!$E$7:$E$46,'버전'!$B$7:$B$46,A31,'버전'!$E$7:$E$46,"&lt;="&amp;'분석조건'!$B$5))</x:f>
        <x:v>44908</x:v>
      </x:c>
      <x:c r="G31" s="16" t="n">
        <x:f>IF(J31=0,"",_xlfn.MAXIFS('버전'!$H$7:$H$46,'버전'!$B$7:$B$46,A31,'버전'!$E$7:$E$46,F31))</x:f>
        <x:v>1</x:v>
      </x:c>
      <x:c r="H31" s="15" t="n">
        <x:f>IF(COUNTIFS('버전'!$B$7:$B$46,A31,'버전'!$D$7:$D$46,"new",'버전'!$E$7:$E$46,"&lt;="&amp;'분석조건'!$B$5)=0,"",_xlfn.MINIFS('버전'!$E$7:$E$46,'버전'!$B$7:$B$46,A31,'버전'!$D$7:$D$46,"new",'버전'!$E$7:$E$46,"&lt;="&amp;'분석조건'!$B$5))</x:f>
        <x:v>44908</x:v>
      </x:c>
      <x:c r="I31" s="14" t="n">
        <x:f>COUNTIFS('버전'!$B$7:$B$46,A31,'버전'!$D$7:$D$46,"revision",'버전'!$E$7:$E$46,"&lt;="&amp;'분석조건'!$B$5)</x:f>
        <x:v>0</x:v>
      </x:c>
      <x:c r="J31" s="14" t="n">
        <x:f>COUNTIFS('버전'!$B$7:$B$46,A31,'버전'!$E$7:$E$46,"&lt;="&amp;'분석조건'!$B$5)</x:f>
        <x:v>1</x:v>
      </x:c>
      <x:c r="K31" s="14" t="n">
        <x:f>IF(J31=0,"",'분석조건'!$B$5-F31)</x:f>
        <x:v>1401</x:v>
      </x:c>
      <x:c r="L31" s="14" t="n">
        <x:f>IF(AND(J31&gt;0,OR('분석조건'!$B$7="all",C31='분석조건'!$B$7),OR('분석조건'!$B$8="all",D31='분석조건'!$B$8),OR('분석조건'!$B$9="all",AND('분석조건'!$B$9="revised",I31&gt;0),AND('분석조건'!$B$9="unrevised",I31=0)),ISNUMBER(SEARCH(SUBSTITUTE(SUBSTITUTE(SUBSTITUTE('분석조건'!$B$12,"~","~~"),"*","~*"),"?","~?"),A31&amp;" "&amp;B31&amp;" "&amp;C31))),1,0)</x:f>
        <x:v>1</x:v>
      </x:c>
      <x:c r="M31" s="14" t="n">
        <x:f>IF(AND(L31=1,K31&gt;'분석조건'!$B$10),1,0)</x:f>
        <x:v>1</x:v>
      </x:c>
      <x:c r="N31" s="24" t="n">
        <x:f>IF(L31=1,K31,"")</x:f>
        <x:v>1401</x:v>
      </x:c>
    </x:row>
    <x:row r="32" ht="78" customHeight="1">
      <x:c r="A32" s="2" t="str">
        <x:v>05A-001</x:v>
      </x:c>
      <x:c r="B32" s="13" t="str">
        <x:v>부생수소 활용을 통한 수소제조공정 대체사업의 방법론</x:v>
      </x:c>
      <x:c r="C32" s="13" t="str">
        <x:v>화학산업</x:v>
      </x:c>
      <x:c r="D32" s="2" t="str">
        <x:v>신청등록</x:v>
      </x:c>
      <x:c r="E32" s="13" t="str">
        <x:v>https://ors.gir.go.kr/home/orme010/historyRead.do?methdSeq=325&amp;menuId=12</x:v>
      </x:c>
      <x:c r="F32" s="15" t="n">
        <x:f>IF(J32=0,"",_xlfn.MAXIFS('버전'!$E$7:$E$46,'버전'!$B$7:$B$46,A32,'버전'!$E$7:$E$46,"&lt;="&amp;'분석조건'!$B$5))</x:f>
        <x:v>44120</x:v>
      </x:c>
      <x:c r="G32" s="16" t="n">
        <x:f>IF(J32=0,"",_xlfn.MAXIFS('버전'!$H$7:$H$46,'버전'!$B$7:$B$46,A32,'버전'!$E$7:$E$46,F32))</x:f>
        <x:v>1</x:v>
      </x:c>
      <x:c r="H32" s="15" t="n">
        <x:f>IF(COUNTIFS('버전'!$B$7:$B$46,A32,'버전'!$D$7:$D$46,"new",'버전'!$E$7:$E$46,"&lt;="&amp;'분석조건'!$B$5)=0,"",_xlfn.MINIFS('버전'!$E$7:$E$46,'버전'!$B$7:$B$46,A32,'버전'!$D$7:$D$46,"new",'버전'!$E$7:$E$46,"&lt;="&amp;'분석조건'!$B$5))</x:f>
        <x:v>44120</x:v>
      </x:c>
      <x:c r="I32" s="14" t="n">
        <x:f>COUNTIFS('버전'!$B$7:$B$46,A32,'버전'!$D$7:$D$46,"revision",'버전'!$E$7:$E$46,"&lt;="&amp;'분석조건'!$B$5)</x:f>
        <x:v>0</x:v>
      </x:c>
      <x:c r="J32" s="14" t="n">
        <x:f>COUNTIFS('버전'!$B$7:$B$46,A32,'버전'!$E$7:$E$46,"&lt;="&amp;'분석조건'!$B$5)</x:f>
        <x:v>1</x:v>
      </x:c>
      <x:c r="K32" s="14" t="n">
        <x:f>IF(J32=0,"",'분석조건'!$B$5-F32)</x:f>
        <x:v>2189</x:v>
      </x:c>
      <x:c r="L32" s="14" t="n">
        <x:f>IF(AND(J32&gt;0,OR('분석조건'!$B$7="all",C32='분석조건'!$B$7),OR('분석조건'!$B$8="all",D32='분석조건'!$B$8),OR('분석조건'!$B$9="all",AND('분석조건'!$B$9="revised",I32&gt;0),AND('분석조건'!$B$9="unrevised",I32=0)),ISNUMBER(SEARCH(SUBSTITUTE(SUBSTITUTE(SUBSTITUTE('분석조건'!$B$12,"~","~~"),"*","~*"),"?","~?"),A32&amp;" "&amp;B32&amp;" "&amp;C32))),1,0)</x:f>
        <x:v>1</x:v>
      </x:c>
      <x:c r="M32" s="14" t="n">
        <x:f>IF(AND(L32=1,K32&gt;'분석조건'!$B$10),1,0)</x:f>
        <x:v>1</x:v>
      </x:c>
      <x:c r="N32" s="24" t="n">
        <x:f>IF(L32=1,K32,"")</x:f>
        <x:v>2189</x:v>
      </x:c>
    </x:row>
    <x:row r="33" ht="78" customHeight="1">
      <x:c r="A33" s="2" t="str">
        <x:v>06A-001</x:v>
      </x:c>
      <x:c r="B33" s="13" t="str">
        <x:v>국내 중온 아스팔트 혼합물 생산을 통한 연료 및 온실가스 저감에 대한 방법론</x:v>
      </x:c>
      <x:c r="C33" s="13" t="str">
        <x:v>건설</x:v>
      </x:c>
      <x:c r="D33" s="2" t="str">
        <x:v>신청등록</x:v>
      </x:c>
      <x:c r="E33" s="13" t="str">
        <x:v>https://ors.gir.go.kr/home/orme010/historyRead.do?methdSeq=324&amp;menuId=12</x:v>
      </x:c>
      <x:c r="F33" s="15" t="n">
        <x:f>IF(J33=0,"",_xlfn.MAXIFS('버전'!$E$7:$E$46,'버전'!$B$7:$B$46,A33,'버전'!$E$7:$E$46,"&lt;="&amp;'분석조건'!$B$5))</x:f>
        <x:v>44558</x:v>
      </x:c>
      <x:c r="G33" s="16" t="n">
        <x:f>IF(J33=0,"",_xlfn.MAXIFS('버전'!$H$7:$H$46,'버전'!$B$7:$B$46,A33,'버전'!$E$7:$E$46,F33))</x:f>
        <x:v>1</x:v>
      </x:c>
      <x:c r="H33" s="15" t="n">
        <x:f>IF(COUNTIFS('버전'!$B$7:$B$46,A33,'버전'!$D$7:$D$46,"new",'버전'!$E$7:$E$46,"&lt;="&amp;'분석조건'!$B$5)=0,"",_xlfn.MINIFS('버전'!$E$7:$E$46,'버전'!$B$7:$B$46,A33,'버전'!$D$7:$D$46,"new",'버전'!$E$7:$E$46,"&lt;="&amp;'분석조건'!$B$5))</x:f>
        <x:v>44558</x:v>
      </x:c>
      <x:c r="I33" s="14" t="n">
        <x:f>COUNTIFS('버전'!$B$7:$B$46,A33,'버전'!$D$7:$D$46,"revision",'버전'!$E$7:$E$46,"&lt;="&amp;'분석조건'!$B$5)</x:f>
        <x:v>0</x:v>
      </x:c>
      <x:c r="J33" s="14" t="n">
        <x:f>COUNTIFS('버전'!$B$7:$B$46,A33,'버전'!$E$7:$E$46,"&lt;="&amp;'분석조건'!$B$5)</x:f>
        <x:v>1</x:v>
      </x:c>
      <x:c r="K33" s="14" t="n">
        <x:f>IF(J33=0,"",'분석조건'!$B$5-F33)</x:f>
        <x:v>1751</x:v>
      </x:c>
      <x:c r="L33" s="14" t="n">
        <x:f>IF(AND(J33&gt;0,OR('분석조건'!$B$7="all",C33='분석조건'!$B$7),OR('분석조건'!$B$8="all",D33='분석조건'!$B$8),OR('분석조건'!$B$9="all",AND('분석조건'!$B$9="revised",I33&gt;0),AND('분석조건'!$B$9="unrevised",I33=0)),ISNUMBER(SEARCH(SUBSTITUTE(SUBSTITUTE(SUBSTITUTE('분석조건'!$B$12,"~","~~"),"*","~*"),"?","~?"),A33&amp;" "&amp;B33&amp;" "&amp;C33))),1,0)</x:f>
        <x:v>1</x:v>
      </x:c>
      <x:c r="M33" s="14" t="n">
        <x:f>IF(AND(L33=1,K33&gt;'분석조건'!$B$10),1,0)</x:f>
        <x:v>1</x:v>
      </x:c>
      <x:c r="N33" s="24" t="n">
        <x:f>IF(L33=1,K33,"")</x:f>
        <x:v>1751</x:v>
      </x:c>
    </x:row>
    <x:row r="34" ht="78" customHeight="1">
      <x:c r="A34" s="2" t="str">
        <x:v>11B-001</x:v>
      </x:c>
      <x:c r="B34" s="13" t="str">
        <x:v>가스절연개폐장치 검사용 SF6 회수ㆍ정제 및 재사용을 통한 SF6 감축사업의 방법론</x:v>
      </x:c>
      <x:c r="C34" s="13" t="str">
        <x:v>할로겐화탄소, 육불화황 생산및소비로부터의 탈루배출</x:v>
      </x:c>
      <x:c r="D34" s="2" t="str">
        <x:v>신청등록</x:v>
      </x:c>
      <x:c r="E34" s="13" t="str">
        <x:v>https://ors.gir.go.kr/home/orme010/historyRead.do?methdSeq=49&amp;menuId=12</x:v>
      </x:c>
      <x:c r="F34" s="15" t="n">
        <x:f>IF(J34=0,"",_xlfn.MAXIFS('버전'!$E$7:$E$46,'버전'!$B$7:$B$46,A34,'버전'!$E$7:$E$46,"&lt;="&amp;'분석조건'!$B$5))</x:f>
        <x:v>43081</x:v>
      </x:c>
      <x:c r="G34" s="16" t="n">
        <x:f>IF(J34=0,"",_xlfn.MAXIFS('버전'!$H$7:$H$46,'버전'!$B$7:$B$46,A34,'버전'!$E$7:$E$46,F34))</x:f>
        <x:v>1</x:v>
      </x:c>
      <x:c r="H34" s="15" t="n">
        <x:f>IF(COUNTIFS('버전'!$B$7:$B$46,A34,'버전'!$D$7:$D$46,"new",'버전'!$E$7:$E$46,"&lt;="&amp;'분석조건'!$B$5)=0,"",_xlfn.MINIFS('버전'!$E$7:$E$46,'버전'!$B$7:$B$46,A34,'버전'!$D$7:$D$46,"new",'버전'!$E$7:$E$46,"&lt;="&amp;'분석조건'!$B$5))</x:f>
        <x:v>43081</x:v>
      </x:c>
      <x:c r="I34" s="14" t="n">
        <x:f>COUNTIFS('버전'!$B$7:$B$46,A34,'버전'!$D$7:$D$46,"revision",'버전'!$E$7:$E$46,"&lt;="&amp;'분석조건'!$B$5)</x:f>
        <x:v>0</x:v>
      </x:c>
      <x:c r="J34" s="14" t="n">
        <x:f>COUNTIFS('버전'!$B$7:$B$46,A34,'버전'!$E$7:$E$46,"&lt;="&amp;'분석조건'!$B$5)</x:f>
        <x:v>1</x:v>
      </x:c>
      <x:c r="K34" s="14" t="n">
        <x:f>IF(J34=0,"",'분석조건'!$B$5-F34)</x:f>
        <x:v>3228</x:v>
      </x:c>
      <x:c r="L34" s="14" t="n">
        <x:f>IF(AND(J34&gt;0,OR('분석조건'!$B$7="all",C34='분석조건'!$B$7),OR('분석조건'!$B$8="all",D34='분석조건'!$B$8),OR('분석조건'!$B$9="all",AND('분석조건'!$B$9="revised",I34&gt;0),AND('분석조건'!$B$9="unrevised",I34=0)),ISNUMBER(SEARCH(SUBSTITUTE(SUBSTITUTE(SUBSTITUTE('분석조건'!$B$12,"~","~~"),"*","~*"),"?","~?"),A34&amp;" "&amp;B34&amp;" "&amp;C34))),1,0)</x:f>
        <x:v>1</x:v>
      </x:c>
      <x:c r="M34" s="14" t="n">
        <x:f>IF(AND(L34=1,K34&gt;'분석조건'!$B$10),1,0)</x:f>
        <x:v>1</x:v>
      </x:c>
      <x:c r="N34" s="24" t="n">
        <x:f>IF(L34=1,K34,"")</x:f>
        <x:v>3228</x:v>
      </x:c>
    </x:row>
    <x:row r="35" ht="78" customHeight="1">
      <x:c r="A35" s="2" t="str">
        <x:v>11B-002</x:v>
      </x:c>
      <x:c r="B35" s="13" t="str">
        <x:v>광전지 제조 공정의 SF6 가스 처리를 통한 온실가스 감축 사업의 방법론</x:v>
      </x:c>
      <x:c r="C35" s="13" t="str">
        <x:v>할로겐화탄소, 육불화황 생산및소비로부터의 탈루배출</x:v>
      </x:c>
      <x:c r="D35" s="2" t="str">
        <x:v>신청등록</x:v>
      </x:c>
      <x:c r="E35" s="13" t="str">
        <x:v>https://ors.gir.go.kr/home/orme010/historyRead.do?methdSeq=315&amp;menuId=12</x:v>
      </x:c>
      <x:c r="F35" s="15" t="n">
        <x:f>IF(J35=0,"",_xlfn.MAXIFS('버전'!$E$7:$E$46,'버전'!$B$7:$B$46,A35,'버전'!$E$7:$E$46,"&lt;="&amp;'분석조건'!$B$5))</x:f>
        <x:v>44120</x:v>
      </x:c>
      <x:c r="G35" s="16" t="n">
        <x:f>IF(J35=0,"",_xlfn.MAXIFS('버전'!$H$7:$H$46,'버전'!$B$7:$B$46,A35,'버전'!$E$7:$E$46,F35))</x:f>
        <x:v>1</x:v>
      </x:c>
      <x:c r="H35" s="15" t="n">
        <x:f>IF(COUNTIFS('버전'!$B$7:$B$46,A35,'버전'!$D$7:$D$46,"new",'버전'!$E$7:$E$46,"&lt;="&amp;'분석조건'!$B$5)=0,"",_xlfn.MINIFS('버전'!$E$7:$E$46,'버전'!$B$7:$B$46,A35,'버전'!$D$7:$D$46,"new",'버전'!$E$7:$E$46,"&lt;="&amp;'분석조건'!$B$5))</x:f>
        <x:v>44120</x:v>
      </x:c>
      <x:c r="I35" s="14" t="n">
        <x:f>COUNTIFS('버전'!$B$7:$B$46,A35,'버전'!$D$7:$D$46,"revision",'버전'!$E$7:$E$46,"&lt;="&amp;'분석조건'!$B$5)</x:f>
        <x:v>0</x:v>
      </x:c>
      <x:c r="J35" s="14" t="n">
        <x:f>COUNTIFS('버전'!$B$7:$B$46,A35,'버전'!$E$7:$E$46,"&lt;="&amp;'분석조건'!$B$5)</x:f>
        <x:v>1</x:v>
      </x:c>
      <x:c r="K35" s="14" t="n">
        <x:f>IF(J35=0,"",'분석조건'!$B$5-F35)</x:f>
        <x:v>2189</x:v>
      </x:c>
      <x:c r="L35" s="14" t="n">
        <x:f>IF(AND(J35&gt;0,OR('분석조건'!$B$7="all",C35='분석조건'!$B$7),OR('분석조건'!$B$8="all",D35='분석조건'!$B$8),OR('분석조건'!$B$9="all",AND('분석조건'!$B$9="revised",I35&gt;0),AND('분석조건'!$B$9="unrevised",I35=0)),ISNUMBER(SEARCH(SUBSTITUTE(SUBSTITUTE(SUBSTITUTE('분석조건'!$B$12,"~","~~"),"*","~*"),"?","~?"),A35&amp;" "&amp;B35&amp;" "&amp;C35))),1,0)</x:f>
        <x:v>1</x:v>
      </x:c>
      <x:c r="M35" s="14" t="n">
        <x:f>IF(AND(L35=1,K35&gt;'분석조건'!$B$10),1,0)</x:f>
        <x:v>1</x:v>
      </x:c>
      <x:c r="N35" s="24" t="n">
        <x:f>IF(L35=1,K35,"")</x:f>
        <x:v>2189</x:v>
      </x:c>
    </x:row>
    <x:row r="36" ht="78" customHeight="1">
      <x:c r="A36" s="2" t="str">
        <x:v>11B-003</x:v>
      </x:c>
      <x:c r="B36" s="13" t="str">
        <x:v>발포제로 사용되는 HFC-152a 회수·정제 및 재사용을 통한 HFC-152a 감축사업의 방법론</x:v>
      </x:c>
      <x:c r="C36" s="13" t="str">
        <x:v>할로겐화탄소, 육불화황 생산및소비로부터의 탈루배출</x:v>
      </x:c>
      <x:c r="D36" s="2" t="str">
        <x:v>신청등록</x:v>
      </x:c>
      <x:c r="E36" s="13" t="str">
        <x:v>https://ors.gir.go.kr/home/orme010/historyRead.do?methdSeq=299&amp;menuId=12</x:v>
      </x:c>
      <x:c r="F36" s="15" t="n">
        <x:f>IF(J36=0,"",_xlfn.MAXIFS('버전'!$E$7:$E$46,'버전'!$B$7:$B$46,A36,'버전'!$E$7:$E$46,"&lt;="&amp;'분석조건'!$B$5))</x:f>
        <x:v>44252</x:v>
      </x:c>
      <x:c r="G36" s="16" t="n">
        <x:f>IF(J36=0,"",_xlfn.MAXIFS('버전'!$H$7:$H$46,'버전'!$B$7:$B$46,A36,'버전'!$E$7:$E$46,F36))</x:f>
        <x:v>1</x:v>
      </x:c>
      <x:c r="H36" s="15" t="n">
        <x:f>IF(COUNTIFS('버전'!$B$7:$B$46,A36,'버전'!$D$7:$D$46,"new",'버전'!$E$7:$E$46,"&lt;="&amp;'분석조건'!$B$5)=0,"",_xlfn.MINIFS('버전'!$E$7:$E$46,'버전'!$B$7:$B$46,A36,'버전'!$D$7:$D$46,"new",'버전'!$E$7:$E$46,"&lt;="&amp;'분석조건'!$B$5))</x:f>
        <x:v>44252</x:v>
      </x:c>
      <x:c r="I36" s="14" t="n">
        <x:f>COUNTIFS('버전'!$B$7:$B$46,A36,'버전'!$D$7:$D$46,"revision",'버전'!$E$7:$E$46,"&lt;="&amp;'분석조건'!$B$5)</x:f>
        <x:v>0</x:v>
      </x:c>
      <x:c r="J36" s="14" t="n">
        <x:f>COUNTIFS('버전'!$B$7:$B$46,A36,'버전'!$E$7:$E$46,"&lt;="&amp;'분석조건'!$B$5)</x:f>
        <x:v>1</x:v>
      </x:c>
      <x:c r="K36" s="14" t="n">
        <x:f>IF(J36=0,"",'분석조건'!$B$5-F36)</x:f>
        <x:v>2057</x:v>
      </x:c>
      <x:c r="L36" s="14" t="n">
        <x:f>IF(AND(J36&gt;0,OR('분석조건'!$B$7="all",C36='분석조건'!$B$7),OR('분석조건'!$B$8="all",D36='분석조건'!$B$8),OR('분석조건'!$B$9="all",AND('분석조건'!$B$9="revised",I36&gt;0),AND('분석조건'!$B$9="unrevised",I36=0)),ISNUMBER(SEARCH(SUBSTITUTE(SUBSTITUTE(SUBSTITUTE('분석조건'!$B$12,"~","~~"),"*","~*"),"?","~?"),A36&amp;" "&amp;B36&amp;" "&amp;C36))),1,0)</x:f>
        <x:v>1</x:v>
      </x:c>
      <x:c r="M36" s="14" t="n">
        <x:f>IF(AND(L36=1,K36&gt;'분석조건'!$B$10),1,0)</x:f>
        <x:v>1</x:v>
      </x:c>
      <x:c r="N36" s="24" t="n">
        <x:f>IF(L36=1,K36,"")</x:f>
        <x:v>2057</x:v>
      </x:c>
    </x:row>
    <x:row r="37" ht="78" customHeight="1">
      <x:c r="A37" s="2" t="str">
        <x:v>11B-004</x:v>
      </x:c>
      <x:c r="B37" s="13" t="str">
        <x:v>가스절연 전기기기의 시험에 따라 발생되는 육불화황(SF6) 가스의 회수 및 플라즈마 분해를 통한 온실가스 감축 사업의 방법론</x:v>
      </x:c>
      <x:c r="C37" s="13" t="str">
        <x:v>할로겐화탄소, 육불화황 생산및소비로부터의 탈루배출</x:v>
      </x:c>
      <x:c r="D37" s="2" t="str">
        <x:v>신청등록</x:v>
      </x:c>
      <x:c r="E37" s="13" t="str">
        <x:v>https://ors.gir.go.kr/home/orme010/historyRead.do?methdSeq=515&amp;menuId=12</x:v>
      </x:c>
      <x:c r="F37" s="15" t="n">
        <x:f>IF(J37=0,"",_xlfn.MAXIFS('버전'!$E$7:$E$46,'버전'!$B$7:$B$46,A37,'버전'!$E$7:$E$46,"&lt;="&amp;'분석조건'!$B$5))</x:f>
        <x:v>46175</x:v>
      </x:c>
      <x:c r="G37" s="16" t="n">
        <x:f>IF(J37=0,"",_xlfn.MAXIFS('버전'!$H$7:$H$46,'버전'!$B$7:$B$46,A37,'버전'!$E$7:$E$46,F37))</x:f>
        <x:v>2</x:v>
      </x:c>
      <x:c r="H37" s="15" t="n">
        <x:f>IF(COUNTIFS('버전'!$B$7:$B$46,A37,'버전'!$D$7:$D$46,"new",'버전'!$E$7:$E$46,"&lt;="&amp;'분석조건'!$B$5)=0,"",_xlfn.MINIFS('버전'!$E$7:$E$46,'버전'!$B$7:$B$46,A37,'버전'!$D$7:$D$46,"new",'버전'!$E$7:$E$46,"&lt;="&amp;'분석조건'!$B$5))</x:f>
        <x:v>44558</x:v>
      </x:c>
      <x:c r="I37" s="14" t="n">
        <x:f>COUNTIFS('버전'!$B$7:$B$46,A37,'버전'!$D$7:$D$46,"revision",'버전'!$E$7:$E$46,"&lt;="&amp;'분석조건'!$B$5)</x:f>
        <x:v>1</x:v>
      </x:c>
      <x:c r="J37" s="14" t="n">
        <x:f>COUNTIFS('버전'!$B$7:$B$46,A37,'버전'!$E$7:$E$46,"&lt;="&amp;'분석조건'!$B$5)</x:f>
        <x:v>2</x:v>
      </x:c>
      <x:c r="K37" s="14" t="n">
        <x:f>IF(J37=0,"",'분석조건'!$B$5-F37)</x:f>
        <x:v>134</x:v>
      </x:c>
      <x:c r="L37" s="14" t="n">
        <x:f>IF(AND(J37&gt;0,OR('분석조건'!$B$7="all",C37='분석조건'!$B$7),OR('분석조건'!$B$8="all",D37='분석조건'!$B$8),OR('분석조건'!$B$9="all",AND('분석조건'!$B$9="revised",I37&gt;0),AND('분석조건'!$B$9="unrevised",I37=0)),ISNUMBER(SEARCH(SUBSTITUTE(SUBSTITUTE(SUBSTITUTE('분석조건'!$B$12,"~","~~"),"*","~*"),"?","~?"),A37&amp;" "&amp;B37&amp;" "&amp;C37))),1,0)</x:f>
        <x:v>1</x:v>
      </x:c>
      <x:c r="M37" s="14" t="n">
        <x:f>IF(AND(L37=1,K37&gt;'분석조건'!$B$10),1,0)</x:f>
        <x:v>0</x:v>
      </x:c>
      <x:c r="N37" s="24" t="n">
        <x:f>IF(L37=1,K37,"")</x:f>
        <x:v>134</x:v>
      </x:c>
    </x:row>
    <x:row r="38" ht="78" customHeight="1">
      <x:c r="A38" s="2" t="str">
        <x:v>11B-005</x:v>
      </x:c>
      <x:c r="B38" s="13" t="str">
        <x:v>전력계통내 폐기된 전기설비의 충진된 SF6를 회수 및 정제하는 사업의 방법론</x:v>
      </x:c>
      <x:c r="C38" s="13" t="str">
        <x:v>할로겐화탄소, 육불화황 생산및소비로부터의 탈루배출</x:v>
      </x:c>
      <x:c r="D38" s="2" t="str">
        <x:v>신청등록</x:v>
      </x:c>
      <x:c r="E38" s="13" t="str">
        <x:v>https://ors.gir.go.kr/home/orme010/historyRead.do?methdSeq=383&amp;menuId=12</x:v>
      </x:c>
      <x:c r="F38" s="15" t="n">
        <x:f>IF(J38=0,"",_xlfn.MAXIFS('버전'!$E$7:$E$46,'버전'!$B$7:$B$46,A38,'버전'!$E$7:$E$46,"&lt;="&amp;'분석조건'!$B$5))</x:f>
        <x:v>44992</x:v>
      </x:c>
      <x:c r="G38" s="16" t="n">
        <x:f>IF(J38=0,"",_xlfn.MAXIFS('버전'!$H$7:$H$46,'버전'!$B$7:$B$46,A38,'버전'!$E$7:$E$46,F38))</x:f>
        <x:v>1</x:v>
      </x:c>
      <x:c r="H38" s="15" t="n">
        <x:f>IF(COUNTIFS('버전'!$B$7:$B$46,A38,'버전'!$D$7:$D$46,"new",'버전'!$E$7:$E$46,"&lt;="&amp;'분석조건'!$B$5)=0,"",_xlfn.MINIFS('버전'!$E$7:$E$46,'버전'!$B$7:$B$46,A38,'버전'!$D$7:$D$46,"new",'버전'!$E$7:$E$46,"&lt;="&amp;'분석조건'!$B$5))</x:f>
        <x:v>44992</x:v>
      </x:c>
      <x:c r="I38" s="14" t="n">
        <x:f>COUNTIFS('버전'!$B$7:$B$46,A38,'버전'!$D$7:$D$46,"revision",'버전'!$E$7:$E$46,"&lt;="&amp;'분석조건'!$B$5)</x:f>
        <x:v>0</x:v>
      </x:c>
      <x:c r="J38" s="14" t="n">
        <x:f>COUNTIFS('버전'!$B$7:$B$46,A38,'버전'!$E$7:$E$46,"&lt;="&amp;'분석조건'!$B$5)</x:f>
        <x:v>1</x:v>
      </x:c>
      <x:c r="K38" s="14" t="n">
        <x:f>IF(J38=0,"",'분석조건'!$B$5-F38)</x:f>
        <x:v>1317</x:v>
      </x:c>
      <x:c r="L38" s="14" t="n">
        <x:f>IF(AND(J38&gt;0,OR('분석조건'!$B$7="all",C38='분석조건'!$B$7),OR('분석조건'!$B$8="all",D38='분석조건'!$B$8),OR('분석조건'!$B$9="all",AND('분석조건'!$B$9="revised",I38&gt;0),AND('분석조건'!$B$9="unrevised",I38=0)),ISNUMBER(SEARCH(SUBSTITUTE(SUBSTITUTE(SUBSTITUTE('분석조건'!$B$12,"~","~~"),"*","~*"),"?","~?"),A38&amp;" "&amp;B38&amp;" "&amp;C38))),1,0)</x:f>
        <x:v>1</x:v>
      </x:c>
      <x:c r="M38" s="14" t="n">
        <x:f>IF(AND(L38=1,K38&gt;'분석조건'!$B$10),1,0)</x:f>
        <x:v>1</x:v>
      </x:c>
      <x:c r="N38" s="24" t="n">
        <x:f>IF(L38=1,K38,"")</x:f>
        <x:v>1317</x:v>
      </x:c>
    </x:row>
    <x:row r="39" ht="78" customHeight="1">
      <x:c r="A39" s="2" t="str">
        <x:v>11B-006</x:v>
      </x:c>
      <x:c r="B39" s="13" t="str">
        <x:v>반도체 제조공정의 F-Gas 감축설비 도입을 통한 온실가스 감축 사업의 방법론</x:v>
      </x:c>
      <x:c r="C39" s="13" t="str">
        <x:v>할로겐화탄소, 육불화황 생산및소비로부터의 탈루배출</x:v>
      </x:c>
      <x:c r="D39" s="2" t="str">
        <x:v>신청등록</x:v>
      </x:c>
      <x:c r="E39" s="13" t="str">
        <x:v>https://ors.gir.go.kr/home/orme010/historyRead.do?methdSeq=404&amp;menuId=12</x:v>
      </x:c>
      <x:c r="F39" s="15" t="n">
        <x:f>IF(J39=0,"",_xlfn.MAXIFS('버전'!$E$7:$E$46,'버전'!$B$7:$B$46,A39,'버전'!$E$7:$E$46,"&lt;="&amp;'분석조건'!$B$5))</x:f>
        <x:v>44992</x:v>
      </x:c>
      <x:c r="G39" s="16" t="n">
        <x:f>IF(J39=0,"",_xlfn.MAXIFS('버전'!$H$7:$H$46,'버전'!$B$7:$B$46,A39,'버전'!$E$7:$E$46,F39))</x:f>
        <x:v>1</x:v>
      </x:c>
      <x:c r="H39" s="15" t="n">
        <x:f>IF(COUNTIFS('버전'!$B$7:$B$46,A39,'버전'!$D$7:$D$46,"new",'버전'!$E$7:$E$46,"&lt;="&amp;'분석조건'!$B$5)=0,"",_xlfn.MINIFS('버전'!$E$7:$E$46,'버전'!$B$7:$B$46,A39,'버전'!$D$7:$D$46,"new",'버전'!$E$7:$E$46,"&lt;="&amp;'분석조건'!$B$5))</x:f>
        <x:v>44992</x:v>
      </x:c>
      <x:c r="I39" s="14" t="n">
        <x:f>COUNTIFS('버전'!$B$7:$B$46,A39,'버전'!$D$7:$D$46,"revision",'버전'!$E$7:$E$46,"&lt;="&amp;'분석조건'!$B$5)</x:f>
        <x:v>0</x:v>
      </x:c>
      <x:c r="J39" s="14" t="n">
        <x:f>COUNTIFS('버전'!$B$7:$B$46,A39,'버전'!$E$7:$E$46,"&lt;="&amp;'분석조건'!$B$5)</x:f>
        <x:v>1</x:v>
      </x:c>
      <x:c r="K39" s="14" t="n">
        <x:f>IF(J39=0,"",'분석조건'!$B$5-F39)</x:f>
        <x:v>1317</x:v>
      </x:c>
      <x:c r="L39" s="14" t="n">
        <x:f>IF(AND(J39&gt;0,OR('분석조건'!$B$7="all",C39='분석조건'!$B$7),OR('분석조건'!$B$8="all",D39='분석조건'!$B$8),OR('분석조건'!$B$9="all",AND('분석조건'!$B$9="revised",I39&gt;0),AND('분석조건'!$B$9="unrevised",I39=0)),ISNUMBER(SEARCH(SUBSTITUTE(SUBSTITUTE(SUBSTITUTE('분석조건'!$B$12,"~","~~"),"*","~*"),"?","~?"),A39&amp;" "&amp;B39&amp;" "&amp;C39))),1,0)</x:f>
        <x:v>1</x:v>
      </x:c>
      <x:c r="M39" s="14" t="n">
        <x:f>IF(AND(L39=1,K39&gt;'분석조건'!$B$10),1,0)</x:f>
        <x:v>1</x:v>
      </x:c>
      <x:c r="N39" s="24" t="n">
        <x:f>IF(L39=1,K39,"")</x:f>
        <x:v>1317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d3f2e8e120e42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0" hidden="0" customWidth="1"/>
    <x:col min="7" max="7" width="6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3" t="str">
        <x:v>공개 버전 이력</x:v>
      </x:c>
      <x:c r="B2" s="3"/>
      <x:c r="C2" s="3"/>
      <x:c r="D2" s="3"/>
      <x:c r="E2" s="3"/>
      <x:c r="F2" s="3"/>
      <x:c r="G2" s="3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최초·개정 버전을 구분합니다. 유효시작일은 등록일·신청일과 다릅니다.</x:v>
      </x:c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2" t="str">
        <x:v>버전 ID</x:v>
      </x:c>
      <x:c r="B6" s="12" t="str">
        <x:v>방법론 코드</x:v>
      </x:c>
      <x:c r="C6" s="12" t="str">
        <x:v>버전</x:v>
      </x:c>
      <x:c r="D6" s="12" t="str">
        <x:v>구분</x:v>
      </x:c>
      <x:c r="E6" s="12" t="str">
        <x:v>유효시작일</x:v>
      </x:c>
      <x:c r="F6" s="12" t="str">
        <x:v>방법론명</x:v>
      </x:c>
      <x:c r="G6" s="12" t="str">
        <x:v>공개 출처</x:v>
      </x:c>
      <x:c r="H6" s="12" t="str">
        <x:v>버전 번호</x:v>
      </x:c>
      <x:c r="I6" s="12" t="str">
        <x:v>상한일 이내</x:v>
      </x:c>
      <x:c r="J6" s="12" t="str">
        <x:v>방법론 포함</x:v>
      </x:c>
      <x:c r="K6" s="12" t="str">
        <x:v>포함</x:v>
      </x:c>
      <x:c r="L6" s="12" t="str">
        <x:v>유효시작 연도</x:v>
      </x:c>
      <x:c r="M6" s="12" t="str">
        <x:v>최근 변경</x:v>
      </x:c>
      <x:c r="N6" s="12" t="str">
        <x:v>선택연도 동기간</x:v>
      </x:c>
      <x:c r="O6" s="12" t="str">
        <x:v>전년 동기간</x:v>
      </x:c>
    </x:row>
    <x:row r="7" ht="78" customHeight="1">
      <x:c r="A7" s="2" t="str">
        <x:v>01A-001-Ver01</x:v>
      </x:c>
      <x:c r="B7" s="2" t="str">
        <x:v>01A-001</x:v>
      </x:c>
      <x:c r="C7" s="17" t="str">
        <x:v>01</x:v>
      </x:c>
      <x:c r="D7" s="2" t="str">
        <x:v>new</x:v>
      </x:c>
      <x:c r="E7" s="7" t="n">
        <x:v>42115</x:v>
      </x:c>
      <x:c r="F7" s="13" t="str">
        <x:v>목재펠릿을 활용한 연료전환 사업의 방법론</x:v>
      </x:c>
      <x:c r="G7" s="13" t="str">
        <x:v>https://ors.gir.go.kr/home/orme010/historyRead.do?methdSeq=15&amp;menuId=12</x:v>
      </x:c>
      <x:c r="H7" s="14" t="n">
        <x:v>1</x:v>
      </x:c>
      <x:c r="I7" s="14" t="n">
        <x:f>IF(E7&lt;='분석조건'!$B$5,1,0)</x:f>
        <x:v>1</x:v>
      </x:c>
      <x:c r="J7" s="14" t="n">
        <x:f>INDEX('방법론'!$L$7:$L$39,MATCH(B7,'방법론'!$A$7:$A$39,0))</x:f>
        <x:v>1</x:v>
      </x:c>
      <x:c r="K7" s="14" t="n">
        <x:f>I7*J7</x:f>
        <x:v>1</x:v>
      </x:c>
      <x:c r="L7" s="14" t="n">
        <x:f>YEAR(E7)</x:f>
        <x:v>2015</x:v>
      </x:c>
      <x:c r="M7" s="14" t="n">
        <x:f>IF(AND(K7=1,'분석조건'!$B$5-E7&lt;'분석조건'!$B$11),1,0)</x:f>
        <x:v>0</x:v>
      </x:c>
      <x:c r="N7" s="14" t="n">
        <x:f>IF(AND(K7=1,E7&gt;=DATE('분석조건'!$B$6,1,1),E7&lt;='분석조건'!$B$14),1,0)</x:f>
        <x:v>0</x:v>
      </x:c>
      <x:c r="O7" s="14" t="n">
        <x:f>IF(AND(K7=1,E7&gt;=DATE('분석조건'!$B$6-1,1,1),E7&lt;='분석조건'!$B$15),1,0)</x:f>
        <x:v>0</x:v>
      </x:c>
    </x:row>
    <x:row r="8" ht="78" customHeight="1">
      <x:c r="A8" s="2" t="str">
        <x:v>01A-006-Ver01</x:v>
      </x:c>
      <x:c r="B8" s="2" t="str">
        <x:v>01A-006</x:v>
      </x:c>
      <x:c r="C8" s="17" t="str">
        <x:v>01</x:v>
      </x:c>
      <x:c r="D8" s="2" t="str">
        <x:v>new</x:v>
      </x:c>
      <x:c r="E8" s="7" t="n">
        <x:v>45902</x:v>
      </x:c>
      <x:c r="F8" s="13" t="str">
        <x:v>가축분뇨 고체연료를 활용한 열/전력 생산 및 이용 사업의 방법론</x:v>
      </x:c>
      <x:c r="G8" s="13" t="str">
        <x:v>https://ors.gir.go.kr/home/orme010/historyRead.do?methdSeq=469&amp;menuId=12</x:v>
      </x:c>
      <x:c r="H8" s="14" t="n">
        <x:v>1</x:v>
      </x:c>
      <x:c r="I8" s="14" t="n">
        <x:f>IF(E8&lt;='분석조건'!$B$5,1,0)</x:f>
        <x:v>1</x:v>
      </x:c>
      <x:c r="J8" s="14" t="n">
        <x:f>INDEX('방법론'!$L$7:$L$39,MATCH(B8,'방법론'!$A$7:$A$39,0))</x:f>
        <x:v>1</x:v>
      </x:c>
      <x:c r="K8" s="14" t="n">
        <x:f>I8*J8</x:f>
        <x:v>1</x:v>
      </x:c>
      <x:c r="L8" s="14" t="n">
        <x:f>YEAR(E8)</x:f>
        <x:v>2025</x:v>
      </x:c>
      <x:c r="M8" s="14" t="n">
        <x:f>IF(AND(K8=1,'분석조건'!$B$5-E8&lt;'분석조건'!$B$11),1,0)</x:f>
        <x:v>0</x:v>
      </x:c>
      <x:c r="N8" s="14" t="n">
        <x:f>IF(AND(K8=1,E8&gt;=DATE('분석조건'!$B$6,1,1),E8&lt;='분석조건'!$B$14),1,0)</x:f>
        <x:v>0</x:v>
      </x:c>
      <x:c r="O8" s="14" t="n">
        <x:f>IF(AND(K8=1,E8&gt;=DATE('분석조건'!$B$6-1,1,1),E8&lt;='분석조건'!$B$15),1,0)</x:f>
        <x:v>1</x:v>
      </x:c>
    </x:row>
    <x:row r="9" ht="78" customHeight="1">
      <x:c r="A9" s="2" t="str">
        <x:v>01B-001-Ver01</x:v>
      </x:c>
      <x:c r="B9" s="2" t="str">
        <x:v>01B-001</x:v>
      </x:c>
      <x:c r="C9" s="17" t="str">
        <x:v>01</x:v>
      </x:c>
      <x:c r="D9" s="2" t="str">
        <x:v>new</x:v>
      </x:c>
      <x:c r="E9" s="7" t="n">
        <x:v>42115</x:v>
      </x:c>
      <x:c r="F9" s="13" t="str">
        <x:v>재생에너지를 이용한 전력 생산 및 계통 연계 사업의 방법론</x:v>
      </x:c>
      <x:c r="G9" s="13" t="str">
        <x:v>https://ors.gir.go.kr/home/orme010/historyRead.do?methdSeq=18&amp;menuId=12</x:v>
      </x:c>
      <x:c r="H9" s="14" t="n">
        <x:v>1</x:v>
      </x:c>
      <x:c r="I9" s="14" t="n">
        <x:f>IF(E9&lt;='분석조건'!$B$5,1,0)</x:f>
        <x:v>1</x:v>
      </x:c>
      <x:c r="J9" s="14" t="n">
        <x:f>INDEX('방법론'!$L$7:$L$39,MATCH(B9,'방법론'!$A$7:$A$39,0))</x:f>
        <x:v>1</x:v>
      </x:c>
      <x:c r="K9" s="14" t="n">
        <x:f>I9*J9</x:f>
        <x:v>1</x:v>
      </x:c>
      <x:c r="L9" s="14" t="n">
        <x:f>YEAR(E9)</x:f>
        <x:v>2015</x:v>
      </x:c>
      <x:c r="M9" s="14" t="n">
        <x:f>IF(AND(K9=1,'분석조건'!$B$5-E9&lt;'분석조건'!$B$11),1,0)</x:f>
        <x:v>0</x:v>
      </x:c>
      <x:c r="N9" s="14" t="n">
        <x:f>IF(AND(K9=1,E9&gt;=DATE('분석조건'!$B$6,1,1),E9&lt;='분석조건'!$B$14),1,0)</x:f>
        <x:v>0</x:v>
      </x:c>
      <x:c r="O9" s="14" t="n">
        <x:f>IF(AND(K9=1,E9&gt;=DATE('분석조건'!$B$6-1,1,1),E9&lt;='분석조건'!$B$15),1,0)</x:f>
        <x:v>0</x:v>
      </x:c>
    </x:row>
    <x:row r="10" ht="78" customHeight="1">
      <x:c r="A10" s="2" t="str">
        <x:v>01B-003-Ver01</x:v>
      </x:c>
      <x:c r="B10" s="2" t="str">
        <x:v>01B-003</x:v>
      </x:c>
      <x:c r="C10" s="17" t="str">
        <x:v>01</x:v>
      </x:c>
      <x:c r="D10" s="2" t="str">
        <x:v>new</x:v>
      </x:c>
      <x:c r="E10" s="7" t="n">
        <x:v>42115</x:v>
      </x:c>
      <x:c r="F10" s="13" t="str">
        <x:v>태양열에너지를 이용한 열에너지 생산 및 이용 사업의 방법론</x:v>
      </x:c>
      <x:c r="G10" s="13" t="str">
        <x:v>https://ors.gir.go.kr/home/orme010/historyRead.do?methdSeq=20&amp;menuId=12</x:v>
      </x:c>
      <x:c r="H10" s="14" t="n">
        <x:v>1</x:v>
      </x:c>
      <x:c r="I10" s="14" t="n">
        <x:f>IF(E10&lt;='분석조건'!$B$5,1,0)</x:f>
        <x:v>1</x:v>
      </x:c>
      <x:c r="J10" s="14" t="n">
        <x:f>INDEX('방법론'!$L$7:$L$39,MATCH(B10,'방법론'!$A$7:$A$39,0))</x:f>
        <x:v>1</x:v>
      </x:c>
      <x:c r="K10" s="14" t="n">
        <x:f>I10*J10</x:f>
        <x:v>1</x:v>
      </x:c>
      <x:c r="L10" s="14" t="n">
        <x:f>YEAR(E10)</x:f>
        <x:v>2015</x:v>
      </x:c>
      <x:c r="M10" s="14" t="n">
        <x:f>IF(AND(K10=1,'분석조건'!$B$5-E10&lt;'분석조건'!$B$11),1,0)</x:f>
        <x:v>0</x:v>
      </x:c>
      <x:c r="N10" s="14" t="n">
        <x:f>IF(AND(K10=1,E10&gt;=DATE('분석조건'!$B$6,1,1),E10&lt;='분석조건'!$B$14),1,0)</x:f>
        <x:v>0</x:v>
      </x:c>
      <x:c r="O10" s="14" t="n">
        <x:f>IF(AND(K10=1,E10&gt;=DATE('분석조건'!$B$6-1,1,1),E10&lt;='분석조건'!$B$15),1,0)</x:f>
        <x:v>0</x:v>
      </x:c>
    </x:row>
    <x:row r="11" ht="78" customHeight="1">
      <x:c r="A11" s="2" t="str">
        <x:v>01B-004-Ver01</x:v>
      </x:c>
      <x:c r="B11" s="2" t="str">
        <x:v>01B-004</x:v>
      </x:c>
      <x:c r="C11" s="17" t="str">
        <x:v>01</x:v>
      </x:c>
      <x:c r="D11" s="2" t="str">
        <x:v>new</x:v>
      </x:c>
      <x:c r="E11" s="7" t="n">
        <x:v>42516</x:v>
      </x:c>
      <x:c r="F11" s="13" t="str">
        <x:v>재생에너지를 이용한 전력 생산 및 자가 사용 사업의 방법론</x:v>
      </x:c>
      <x:c r="G11" s="13" t="str">
        <x:v>https://ors.gir.go.kr/home/orme010/historyRead.do?methdSeq=44&amp;menuId=12</x:v>
      </x:c>
      <x:c r="H11" s="14" t="n">
        <x:v>1</x:v>
      </x:c>
      <x:c r="I11" s="14" t="n">
        <x:f>IF(E11&lt;='분석조건'!$B$5,1,0)</x:f>
        <x:v>1</x:v>
      </x:c>
      <x:c r="J11" s="14" t="n">
        <x:f>INDEX('방법론'!$L$7:$L$39,MATCH(B11,'방법론'!$A$7:$A$39,0))</x:f>
        <x:v>1</x:v>
      </x:c>
      <x:c r="K11" s="14" t="n">
        <x:f>I11*J11</x:f>
        <x:v>1</x:v>
      </x:c>
      <x:c r="L11" s="14" t="n">
        <x:f>YEAR(E11)</x:f>
        <x:v>2016</x:v>
      </x:c>
      <x:c r="M11" s="14" t="n">
        <x:f>IF(AND(K11=1,'분석조건'!$B$5-E11&lt;'분석조건'!$B$11),1,0)</x:f>
        <x:v>0</x:v>
      </x:c>
      <x:c r="N11" s="14" t="n">
        <x:f>IF(AND(K11=1,E11&gt;=DATE('분석조건'!$B$6,1,1),E11&lt;='분석조건'!$B$14),1,0)</x:f>
        <x:v>0</x:v>
      </x:c>
      <x:c r="O11" s="14" t="n">
        <x:f>IF(AND(K11=1,E11&gt;=DATE('분석조건'!$B$6-1,1,1),E11&lt;='분석조건'!$B$15),1,0)</x:f>
        <x:v>0</x:v>
      </x:c>
    </x:row>
    <x:row r="12" ht="78" customHeight="1">
      <x:c r="A12" s="2" t="str">
        <x:v>01B-008-Ver01</x:v>
      </x:c>
      <x:c r="B12" s="2" t="str">
        <x:v>01B-008</x:v>
      </x:c>
      <x:c r="C12" s="17" t="str">
        <x:v>01</x:v>
      </x:c>
      <x:c r="D12" s="2" t="str">
        <x:v>new</x:v>
      </x:c>
      <x:c r="E12" s="7" t="n">
        <x:v>43987</x:v>
      </x:c>
      <x:c r="F12" s="13" t="str">
        <x:v>전력 자가사용 및 독립된 소규모 계통 연계를 위한 재생에너지 발전사업의 방법론</x:v>
      </x:c>
      <x:c r="G12" s="13" t="str">
        <x:v>https://ors.gir.go.kr/home/orme010/historyRead.do?methdSeq=353&amp;menuId=12</x:v>
      </x:c>
      <x:c r="H12" s="14" t="n">
        <x:v>1</x:v>
      </x:c>
      <x:c r="I12" s="14" t="n">
        <x:f>IF(E12&lt;='분석조건'!$B$5,1,0)</x:f>
        <x:v>1</x:v>
      </x:c>
      <x:c r="J12" s="14" t="n">
        <x:f>INDEX('방법론'!$L$7:$L$39,MATCH(B12,'방법론'!$A$7:$A$39,0))</x:f>
        <x:v>1</x:v>
      </x:c>
      <x:c r="K12" s="14" t="n">
        <x:f>I12*J12</x:f>
        <x:v>1</x:v>
      </x:c>
      <x:c r="L12" s="14" t="n">
        <x:f>YEAR(E12)</x:f>
        <x:v>2020</x:v>
      </x:c>
      <x:c r="M12" s="14" t="n">
        <x:f>IF(AND(K12=1,'분석조건'!$B$5-E12&lt;'분석조건'!$B$11),1,0)</x:f>
        <x:v>0</x:v>
      </x:c>
      <x:c r="N12" s="14" t="n">
        <x:f>IF(AND(K12=1,E12&gt;=DATE('분석조건'!$B$6,1,1),E12&lt;='분석조건'!$B$14),1,0)</x:f>
        <x:v>0</x:v>
      </x:c>
      <x:c r="O12" s="14" t="n">
        <x:f>IF(AND(K12=1,E12&gt;=DATE('분석조건'!$B$6-1,1,1),E12&lt;='분석조건'!$B$15),1,0)</x:f>
        <x:v>0</x:v>
      </x:c>
    </x:row>
    <x:row r="13" ht="78" customHeight="1">
      <x:c r="A13" s="2" t="str">
        <x:v>01B-009-Ver01</x:v>
      </x:c>
      <x:c r="B13" s="2" t="str">
        <x:v>01B-009</x:v>
      </x:c>
      <x:c r="C13" s="17" t="str">
        <x:v>01</x:v>
      </x:c>
      <x:c r="D13" s="2" t="str">
        <x:v>new</x:v>
      </x:c>
      <x:c r="E13" s="7" t="n">
        <x:v>44834</x:v>
      </x:c>
      <x:c r="F13" s="13" t="str">
        <x:v>수소 연료전지를 이용한 전기 및 열생산 사업의 방법론</x:v>
      </x:c>
      <x:c r="G13" s="13" t="str">
        <x:v>https://ors.gir.go.kr/home/orme010/historyRead.do?methdSeq=532&amp;menuId=12</x:v>
      </x:c>
      <x:c r="H13" s="14" t="n">
        <x:v>1</x:v>
      </x:c>
      <x:c r="I13" s="14" t="n">
        <x:f>IF(E13&lt;='분석조건'!$B$5,1,0)</x:f>
        <x:v>1</x:v>
      </x:c>
      <x:c r="J13" s="14" t="n">
        <x:f>INDEX('방법론'!$L$7:$L$39,MATCH(B13,'방법론'!$A$7:$A$39,0))</x:f>
        <x:v>1</x:v>
      </x:c>
      <x:c r="K13" s="14" t="n">
        <x:f>I13*J13</x:f>
        <x:v>1</x:v>
      </x:c>
      <x:c r="L13" s="14" t="n">
        <x:f>YEAR(E13)</x:f>
        <x:v>2022</x:v>
      </x:c>
      <x:c r="M13" s="14" t="n">
        <x:f>IF(AND(K13=1,'분석조건'!$B$5-E13&lt;'분석조건'!$B$11),1,0)</x:f>
        <x:v>0</x:v>
      </x:c>
      <x:c r="N13" s="14" t="n">
        <x:f>IF(AND(K13=1,E13&gt;=DATE('분석조건'!$B$6,1,1),E13&lt;='분석조건'!$B$14),1,0)</x:f>
        <x:v>0</x:v>
      </x:c>
      <x:c r="O13" s="14" t="n">
        <x:f>IF(AND(K13=1,E13&gt;=DATE('분석조건'!$B$6-1,1,1),E13&lt;='분석조건'!$B$15),1,0)</x:f>
        <x:v>0</x:v>
      </x:c>
    </x:row>
    <x:row r="14" ht="78" customHeight="1">
      <x:c r="A14" s="2" t="str">
        <x:v>01B-009-Ver02</x:v>
      </x:c>
      <x:c r="B14" s="2" t="str">
        <x:v>01B-009</x:v>
      </x:c>
      <x:c r="C14" s="17" t="str">
        <x:v>02</x:v>
      </x:c>
      <x:c r="D14" s="2" t="str">
        <x:v>revision</x:v>
      </x:c>
      <x:c r="E14" s="7" t="n">
        <x:v>45993</x:v>
      </x:c>
      <x:c r="F14" s="13" t="str">
        <x:v>수소 연료전지를 이용한 전기 및 열생산 사업의 방법론</x:v>
      </x:c>
      <x:c r="G14" s="13" t="str">
        <x:v>https://ors.gir.go.kr/home/orme010/historyRead.do?methdSeq=532&amp;menuId=12</x:v>
      </x:c>
      <x:c r="H14" s="14" t="n">
        <x:v>2</x:v>
      </x:c>
      <x:c r="I14" s="14" t="n">
        <x:f>IF(E14&lt;='분석조건'!$B$5,1,0)</x:f>
        <x:v>1</x:v>
      </x:c>
      <x:c r="J14" s="14" t="n">
        <x:f>INDEX('방법론'!$L$7:$L$39,MATCH(B14,'방법론'!$A$7:$A$39,0))</x:f>
        <x:v>1</x:v>
      </x:c>
      <x:c r="K14" s="14" t="n">
        <x:f>I14*J14</x:f>
        <x:v>1</x:v>
      </x:c>
      <x:c r="L14" s="14" t="n">
        <x:f>YEAR(E14)</x:f>
        <x:v>2025</x:v>
      </x:c>
      <x:c r="M14" s="14" t="n">
        <x:f>IF(AND(K14=1,'분석조건'!$B$5-E14&lt;'분석조건'!$B$11),1,0)</x:f>
        <x:v>1</x:v>
      </x:c>
      <x:c r="N14" s="14" t="n">
        <x:f>IF(AND(K14=1,E14&gt;=DATE('분석조건'!$B$6,1,1),E14&lt;='분석조건'!$B$14),1,0)</x:f>
        <x:v>0</x:v>
      </x:c>
      <x:c r="O14" s="14" t="n">
        <x:f>IF(AND(K14=1,E14&gt;=DATE('분석조건'!$B$6-1,1,1),E14&lt;='분석조건'!$B$15),1,0)</x:f>
        <x:v>0</x:v>
      </x:c>
    </x:row>
    <x:row r="15" ht="78" customHeight="1">
      <x:c r="A15" s="2" t="str">
        <x:v>01B-011-Ver01</x:v>
      </x:c>
      <x:c r="B15" s="2" t="str">
        <x:v>01B-011</x:v>
      </x:c>
      <x:c r="C15" s="17" t="str">
        <x:v>01</x:v>
      </x:c>
      <x:c r="D15" s="2" t="str">
        <x:v>new</x:v>
      </x:c>
      <x:c r="E15" s="7" t="n">
        <x:v>45538</x:v>
      </x:c>
      <x:c r="F15" s="13" t="str">
        <x:v>재생에너지를 통해 생산한 전력을 자가 사용 및/또는 계통 연계하는 사업의 방법론</x:v>
      </x:c>
      <x:c r="G15" s="13" t="str">
        <x:v>https://ors.gir.go.kr/home/orme010/historyRead.do?methdSeq=537&amp;menuId=12</x:v>
      </x:c>
      <x:c r="H15" s="14" t="n">
        <x:v>1</x:v>
      </x:c>
      <x:c r="I15" s="14" t="n">
        <x:f>IF(E15&lt;='분석조건'!$B$5,1,0)</x:f>
        <x:v>1</x:v>
      </x:c>
      <x:c r="J15" s="14" t="n">
        <x:f>INDEX('방법론'!$L$7:$L$39,MATCH(B15,'방법론'!$A$7:$A$39,0))</x:f>
        <x:v>1</x:v>
      </x:c>
      <x:c r="K15" s="14" t="n">
        <x:f>I15*J15</x:f>
        <x:v>1</x:v>
      </x:c>
      <x:c r="L15" s="14" t="n">
        <x:f>YEAR(E15)</x:f>
        <x:v>2024</x:v>
      </x:c>
      <x:c r="M15" s="14" t="n">
        <x:f>IF(AND(K15=1,'분석조건'!$B$5-E15&lt;'분석조건'!$B$11),1,0)</x:f>
        <x:v>0</x:v>
      </x:c>
      <x:c r="N15" s="14" t="n">
        <x:f>IF(AND(K15=1,E15&gt;=DATE('분석조건'!$B$6,1,1),E15&lt;='분석조건'!$B$14),1,0)</x:f>
        <x:v>0</x:v>
      </x:c>
      <x:c r="O15" s="14" t="n">
        <x:f>IF(AND(K15=1,E15&gt;=DATE('분석조건'!$B$6-1,1,1),E15&lt;='분석조건'!$B$15),1,0)</x:f>
        <x:v>0</x:v>
      </x:c>
    </x:row>
    <x:row r="16" ht="78" customHeight="1">
      <x:c r="A16" s="2" t="str">
        <x:v>01B-011-Ver02</x:v>
      </x:c>
      <x:c r="B16" s="2" t="str">
        <x:v>01B-011</x:v>
      </x:c>
      <x:c r="C16" s="17" t="str">
        <x:v>02</x:v>
      </x:c>
      <x:c r="D16" s="2" t="str">
        <x:v>revision</x:v>
      </x:c>
      <x:c r="E16" s="7" t="n">
        <x:v>46267</x:v>
      </x:c>
      <x:c r="F16" s="13" t="str">
        <x:v>재생에너지를 통해 생산한 전력을 자가 사용 및/또는 계통 연계하는 사업의 방법론</x:v>
      </x:c>
      <x:c r="G16" s="13" t="str">
        <x:v>https://ors.gir.go.kr/home/orme010/historyRead.do?methdSeq=537&amp;menuId=12</x:v>
      </x:c>
      <x:c r="H16" s="14" t="n">
        <x:v>2</x:v>
      </x:c>
      <x:c r="I16" s="14" t="n">
        <x:f>IF(E16&lt;='분석조건'!$B$5,1,0)</x:f>
        <x:v>1</x:v>
      </x:c>
      <x:c r="J16" s="14" t="n">
        <x:f>INDEX('방법론'!$L$7:$L$39,MATCH(B16,'방법론'!$A$7:$A$39,0))</x:f>
        <x:v>1</x:v>
      </x:c>
      <x:c r="K16" s="14" t="n">
        <x:f>I16*J16</x:f>
        <x:v>1</x:v>
      </x:c>
      <x:c r="L16" s="14" t="n">
        <x:f>YEAR(E16)</x:f>
        <x:v>2026</x:v>
      </x:c>
      <x:c r="M16" s="14" t="n">
        <x:f>IF(AND(K16=1,'분석조건'!$B$5-E16&lt;'분석조건'!$B$11),1,0)</x:f>
        <x:v>1</x:v>
      </x:c>
      <x:c r="N16" s="14" t="n">
        <x:f>IF(AND(K16=1,E16&gt;=DATE('분석조건'!$B$6,1,1),E16&lt;='분석조건'!$B$14),1,0)</x:f>
        <x:v>1</x:v>
      </x:c>
      <x:c r="O16" s="14" t="n">
        <x:f>IF(AND(K16=1,E16&gt;=DATE('분석조건'!$B$6-1,1,1),E16&lt;='분석조건'!$B$15),1,0)</x:f>
        <x:v>0</x:v>
      </x:c>
    </x:row>
    <x:row r="17" ht="78" customHeight="1">
      <x:c r="A17" s="2" t="str">
        <x:v>02A-001-Ver01</x:v>
      </x:c>
      <x:c r="B17" s="2" t="str">
        <x:v>02A-001</x:v>
      </x:c>
      <x:c r="C17" s="17" t="str">
        <x:v>01</x:v>
      </x:c>
      <x:c r="D17" s="2" t="str">
        <x:v>new</x:v>
      </x:c>
      <x:c r="E17" s="7" t="n">
        <x:v>45538</x:v>
      </x:c>
      <x:c r="F17" s="13" t="str">
        <x:v>자가발전을 통한 사업장 전력 대체 온실가스 감축 방법론</x:v>
      </x:c>
      <x:c r="G17" s="13" t="str">
        <x:v>https://ors.gir.go.kr/home/orme010/historyRead.do?methdSeq=406&amp;menuId=12</x:v>
      </x:c>
      <x:c r="H17" s="14" t="n">
        <x:v>1</x:v>
      </x:c>
      <x:c r="I17" s="14" t="n">
        <x:f>IF(E17&lt;='분석조건'!$B$5,1,0)</x:f>
        <x:v>1</x:v>
      </x:c>
      <x:c r="J17" s="14" t="n">
        <x:f>INDEX('방법론'!$L$7:$L$39,MATCH(B17,'방법론'!$A$7:$A$39,0))</x:f>
        <x:v>1</x:v>
      </x:c>
      <x:c r="K17" s="14" t="n">
        <x:f>I17*J17</x:f>
        <x:v>1</x:v>
      </x:c>
      <x:c r="L17" s="14" t="n">
        <x:f>YEAR(E17)</x:f>
        <x:v>2024</x:v>
      </x:c>
      <x:c r="M17" s="14" t="n">
        <x:f>IF(AND(K17=1,'분석조건'!$B$5-E17&lt;'분석조건'!$B$11),1,0)</x:f>
        <x:v>0</x:v>
      </x:c>
      <x:c r="N17" s="14" t="n">
        <x:f>IF(AND(K17=1,E17&gt;=DATE('분석조건'!$B$6,1,1),E17&lt;='분석조건'!$B$14),1,0)</x:f>
        <x:v>0</x:v>
      </x:c>
      <x:c r="O17" s="14" t="n">
        <x:f>IF(AND(K17=1,E17&gt;=DATE('분석조건'!$B$6-1,1,1),E17&lt;='분석조건'!$B$15),1,0)</x:f>
        <x:v>0</x:v>
      </x:c>
    </x:row>
    <x:row r="18" ht="78" customHeight="1">
      <x:c r="A18" s="2" t="str">
        <x:v>02B-001-Ver01</x:v>
      </x:c>
      <x:c r="B18" s="2" t="str">
        <x:v>02B-001</x:v>
      </x:c>
      <x:c r="C18" s="17" t="str">
        <x:v>01</x:v>
      </x:c>
      <x:c r="D18" s="2" t="str">
        <x:v>new</x:v>
      </x:c>
      <x:c r="E18" s="7" t="n">
        <x:v>42810</x:v>
      </x:c>
      <x:c r="F18" s="13" t="str">
        <x:v>열공급시설에서 목질계 바이오매스 연료를 이용하여 생산된 열에너지 공급을 통한 수용가의 화석연료 사용량 절감사업의 방법론</x:v>
      </x:c>
      <x:c r="G18" s="13" t="str">
        <x:v>https://ors.gir.go.kr/home/orme010/historyRead.do?methdSeq=332&amp;menuId=12</x:v>
      </x:c>
      <x:c r="H18" s="14" t="n">
        <x:v>1</x:v>
      </x:c>
      <x:c r="I18" s="14" t="n">
        <x:f>IF(E18&lt;='분석조건'!$B$5,1,0)</x:f>
        <x:v>1</x:v>
      </x:c>
      <x:c r="J18" s="14" t="n">
        <x:f>INDEX('방법론'!$L$7:$L$39,MATCH(B18,'방법론'!$A$7:$A$39,0))</x:f>
        <x:v>1</x:v>
      </x:c>
      <x:c r="K18" s="14" t="n">
        <x:f>I18*J18</x:f>
        <x:v>1</x:v>
      </x:c>
      <x:c r="L18" s="14" t="n">
        <x:f>YEAR(E18)</x:f>
        <x:v>2017</x:v>
      </x:c>
      <x:c r="M18" s="14" t="n">
        <x:f>IF(AND(K18=1,'분석조건'!$B$5-E18&lt;'분석조건'!$B$11),1,0)</x:f>
        <x:v>0</x:v>
      </x:c>
      <x:c r="N18" s="14" t="n">
        <x:f>IF(AND(K18=1,E18&gt;=DATE('분석조건'!$B$6,1,1),E18&lt;='분석조건'!$B$14),1,0)</x:f>
        <x:v>0</x:v>
      </x:c>
      <x:c r="O18" s="14" t="n">
        <x:f>IF(AND(K18=1,E18&gt;=DATE('분석조건'!$B$6-1,1,1),E18&lt;='분석조건'!$B$15),1,0)</x:f>
        <x:v>0</x:v>
      </x:c>
    </x:row>
    <x:row r="19" ht="78" customHeight="1">
      <x:c r="A19" s="2" t="str">
        <x:v>02B-001-Ver02</x:v>
      </x:c>
      <x:c r="B19" s="2" t="str">
        <x:v>02B-001</x:v>
      </x:c>
      <x:c r="C19" s="17" t="str">
        <x:v>02</x:v>
      </x:c>
      <x:c r="D19" s="2" t="str">
        <x:v>revision</x:v>
      </x:c>
      <x:c r="E19" s="7" t="n">
        <x:v>44252</x:v>
      </x:c>
      <x:c r="F19" s="13" t="str">
        <x:v>열공급시설에서 목질계 바이오매스 연료를 이용하여 생산된 열에너지 공급을 통한 수용가의 화석연료 사용량 절감사업의 방법론</x:v>
      </x:c>
      <x:c r="G19" s="13" t="str">
        <x:v>https://ors.gir.go.kr/home/orme010/historyRead.do?methdSeq=332&amp;menuId=12</x:v>
      </x:c>
      <x:c r="H19" s="14" t="n">
        <x:v>2</x:v>
      </x:c>
      <x:c r="I19" s="14" t="n">
        <x:f>IF(E19&lt;='분석조건'!$B$5,1,0)</x:f>
        <x:v>1</x:v>
      </x:c>
      <x:c r="J19" s="14" t="n">
        <x:f>INDEX('방법론'!$L$7:$L$39,MATCH(B19,'방법론'!$A$7:$A$39,0))</x:f>
        <x:v>1</x:v>
      </x:c>
      <x:c r="K19" s="14" t="n">
        <x:f>I19*J19</x:f>
        <x:v>1</x:v>
      </x:c>
      <x:c r="L19" s="14" t="n">
        <x:f>YEAR(E19)</x:f>
        <x:v>2021</x:v>
      </x:c>
      <x:c r="M19" s="14" t="n">
        <x:f>IF(AND(K19=1,'분석조건'!$B$5-E19&lt;'분석조건'!$B$11),1,0)</x:f>
        <x:v>0</x:v>
      </x:c>
      <x:c r="N19" s="14" t="n">
        <x:f>IF(AND(K19=1,E19&gt;=DATE('분석조건'!$B$6,1,1),E19&lt;='분석조건'!$B$14),1,0)</x:f>
        <x:v>0</x:v>
      </x:c>
      <x:c r="O19" s="14" t="n">
        <x:f>IF(AND(K19=1,E19&gt;=DATE('분석조건'!$B$6-1,1,1),E19&lt;='분석조건'!$B$15),1,0)</x:f>
        <x:v>0</x:v>
      </x:c>
    </x:row>
    <x:row r="20" ht="78" customHeight="1">
      <x:c r="A20" s="2" t="str">
        <x:v>02B-002-Ver01</x:v>
      </x:c>
      <x:c r="B20" s="2" t="str">
        <x:v>02B-002</x:v>
      </x:c>
      <x:c r="C20" s="17" t="str">
        <x:v>01</x:v>
      </x:c>
      <x:c r="D20" s="2" t="str">
        <x:v>new</x:v>
      </x:c>
      <x:c r="E20" s="7" t="n">
        <x:v>45902</x:v>
      </x:c>
      <x:c r="F20" s="13" t="str">
        <x:v>섬유염색공정에서 증기 전용 텐터기 도입과 텐터기 전용 열 공급을 통한 수용가의 화석연료 사용량 절감사업의 방법론</x:v>
      </x:c>
      <x:c r="G20" s="13" t="str">
        <x:v>https://ors.gir.go.kr/home/orme010/historyRead.do?methdSeq=438&amp;menuId=12</x:v>
      </x:c>
      <x:c r="H20" s="14" t="n">
        <x:v>1</x:v>
      </x:c>
      <x:c r="I20" s="14" t="n">
        <x:f>IF(E20&lt;='분석조건'!$B$5,1,0)</x:f>
        <x:v>1</x:v>
      </x:c>
      <x:c r="J20" s="14" t="n">
        <x:f>INDEX('방법론'!$L$7:$L$39,MATCH(B20,'방법론'!$A$7:$A$39,0))</x:f>
        <x:v>1</x:v>
      </x:c>
      <x:c r="K20" s="14" t="n">
        <x:f>I20*J20</x:f>
        <x:v>1</x:v>
      </x:c>
      <x:c r="L20" s="14" t="n">
        <x:f>YEAR(E20)</x:f>
        <x:v>2025</x:v>
      </x:c>
      <x:c r="M20" s="14" t="n">
        <x:f>IF(AND(K20=1,'분석조건'!$B$5-E20&lt;'분석조건'!$B$11),1,0)</x:f>
        <x:v>0</x:v>
      </x:c>
      <x:c r="N20" s="14" t="n">
        <x:f>IF(AND(K20=1,E20&gt;=DATE('분석조건'!$B$6,1,1),E20&lt;='분석조건'!$B$14),1,0)</x:f>
        <x:v>0</x:v>
      </x:c>
      <x:c r="O20" s="14" t="n">
        <x:f>IF(AND(K20=1,E20&gt;=DATE('분석조건'!$B$6-1,1,1),E20&lt;='분석조건'!$B$15),1,0)</x:f>
        <x:v>1</x:v>
      </x:c>
    </x:row>
    <x:row r="21" ht="78" customHeight="1">
      <x:c r="A21" s="2" t="str">
        <x:v>03A-001-Ver01</x:v>
      </x:c>
      <x:c r="B21" s="2" t="str">
        <x:v>03A-001</x:v>
      </x:c>
      <x:c r="C21" s="17" t="str">
        <x:v>01</x:v>
      </x:c>
      <x:c r="D21" s="2" t="str">
        <x:v>new</x:v>
      </x:c>
      <x:c r="E21" s="7" t="n">
        <x:v>42405</x:v>
      </x:c>
      <x:c r="F21" s="13" t="str">
        <x:v>미활용 열에너지 회수 및 이용 사업의 방법론</x:v>
      </x:c>
      <x:c r="G21" s="13" t="str">
        <x:v>https://ors.gir.go.kr/home/orme010/historyRead.do?methdSeq=40&amp;menuId=12</x:v>
      </x:c>
      <x:c r="H21" s="14" t="n">
        <x:v>1</x:v>
      </x:c>
      <x:c r="I21" s="14" t="n">
        <x:f>IF(E21&lt;='분석조건'!$B$5,1,0)</x:f>
        <x:v>1</x:v>
      </x:c>
      <x:c r="J21" s="14" t="n">
        <x:f>INDEX('방법론'!$L$7:$L$39,MATCH(B21,'방법론'!$A$7:$A$39,0))</x:f>
        <x:v>1</x:v>
      </x:c>
      <x:c r="K21" s="14" t="n">
        <x:f>I21*J21</x:f>
        <x:v>1</x:v>
      </x:c>
      <x:c r="L21" s="14" t="n">
        <x:f>YEAR(E21)</x:f>
        <x:v>2016</x:v>
      </x:c>
      <x:c r="M21" s="14" t="n">
        <x:f>IF(AND(K21=1,'분석조건'!$B$5-E21&lt;'분석조건'!$B$11),1,0)</x:f>
        <x:v>0</x:v>
      </x:c>
      <x:c r="N21" s="14" t="n">
        <x:f>IF(AND(K21=1,E21&gt;=DATE('분석조건'!$B$6,1,1),E21&lt;='분석조건'!$B$14),1,0)</x:f>
        <x:v>0</x:v>
      </x:c>
      <x:c r="O21" s="14" t="n">
        <x:f>IF(AND(K21=1,E21&gt;=DATE('분석조건'!$B$6-1,1,1),E21&lt;='분석조건'!$B$15),1,0)</x:f>
        <x:v>0</x:v>
      </x:c>
    </x:row>
    <x:row r="22" ht="78" customHeight="1">
      <x:c r="A22" s="2" t="str">
        <x:v>03A-002-Ver01</x:v>
      </x:c>
      <x:c r="B22" s="2" t="str">
        <x:v>03A-002</x:v>
      </x:c>
      <x:c r="C22" s="17" t="str">
        <x:v>01</x:v>
      </x:c>
      <x:c r="D22" s="2" t="str">
        <x:v>new</x:v>
      </x:c>
      <x:c r="E22" s="7" t="n">
        <x:v>42115</x:v>
      </x:c>
      <x:c r="F22" s="13" t="str">
        <x:v>연료 전환 사업의 방법론</x:v>
      </x:c>
      <x:c r="G22" s="13" t="str">
        <x:v>https://ors.gir.go.kr/home/orme010/historyRead.do?methdSeq=466&amp;menuId=12</x:v>
      </x:c>
      <x:c r="H22" s="14" t="n">
        <x:v>1</x:v>
      </x:c>
      <x:c r="I22" s="14" t="n">
        <x:f>IF(E22&lt;='분석조건'!$B$5,1,0)</x:f>
        <x:v>1</x:v>
      </x:c>
      <x:c r="J22" s="14" t="n">
        <x:f>INDEX('방법론'!$L$7:$L$39,MATCH(B22,'방법론'!$A$7:$A$39,0))</x:f>
        <x:v>1</x:v>
      </x:c>
      <x:c r="K22" s="14" t="n">
        <x:f>I22*J22</x:f>
        <x:v>1</x:v>
      </x:c>
      <x:c r="L22" s="14" t="n">
        <x:f>YEAR(E22)</x:f>
        <x:v>2015</x:v>
      </x:c>
      <x:c r="M22" s="14" t="n">
        <x:f>IF(AND(K22=1,'분석조건'!$B$5-E22&lt;'분석조건'!$B$11),1,0)</x:f>
        <x:v>0</x:v>
      </x:c>
      <x:c r="N22" s="14" t="n">
        <x:f>IF(AND(K22=1,E22&gt;=DATE('분석조건'!$B$6,1,1),E22&lt;='분석조건'!$B$14),1,0)</x:f>
        <x:v>0</x:v>
      </x:c>
      <x:c r="O22" s="14" t="n">
        <x:f>IF(AND(K22=1,E22&gt;=DATE('분석조건'!$B$6-1,1,1),E22&lt;='분석조건'!$B$15),1,0)</x:f>
        <x:v>0</x:v>
      </x:c>
    </x:row>
    <x:row r="23" ht="78" customHeight="1">
      <x:c r="A23" s="2" t="str">
        <x:v>03A-002-Ver02</x:v>
      </x:c>
      <x:c r="B23" s="2" t="str">
        <x:v>03A-002</x:v>
      </x:c>
      <x:c r="C23" s="17" t="str">
        <x:v>02</x:v>
      </x:c>
      <x:c r="D23" s="2" t="str">
        <x:v>revision</x:v>
      </x:c>
      <x:c r="E23" s="7" t="n">
        <x:v>44558</x:v>
      </x:c>
      <x:c r="F23" s="13" t="str">
        <x:v>연료 전환 사업의 방법론</x:v>
      </x:c>
      <x:c r="G23" s="13" t="str">
        <x:v>https://ors.gir.go.kr/home/orme010/historyRead.do?methdSeq=466&amp;menuId=12</x:v>
      </x:c>
      <x:c r="H23" s="14" t="n">
        <x:v>2</x:v>
      </x:c>
      <x:c r="I23" s="14" t="n">
        <x:f>IF(E23&lt;='분석조건'!$B$5,1,0)</x:f>
        <x:v>1</x:v>
      </x:c>
      <x:c r="J23" s="14" t="n">
        <x:f>INDEX('방법론'!$L$7:$L$39,MATCH(B23,'방법론'!$A$7:$A$39,0))</x:f>
        <x:v>1</x:v>
      </x:c>
      <x:c r="K23" s="14" t="n">
        <x:f>I23*J23</x:f>
        <x:v>1</x:v>
      </x:c>
      <x:c r="L23" s="14" t="n">
        <x:f>YEAR(E23)</x:f>
        <x:v>2021</x:v>
      </x:c>
      <x:c r="M23" s="14" t="n">
        <x:f>IF(AND(K23=1,'분석조건'!$B$5-E23&lt;'분석조건'!$B$11),1,0)</x:f>
        <x:v>0</x:v>
      </x:c>
      <x:c r="N23" s="14" t="n">
        <x:f>IF(AND(K23=1,E23&gt;=DATE('분석조건'!$B$6,1,1),E23&lt;='분석조건'!$B$14),1,0)</x:f>
        <x:v>0</x:v>
      </x:c>
      <x:c r="O23" s="14" t="n">
        <x:f>IF(AND(K23=1,E23&gt;=DATE('분석조건'!$B$6-1,1,1),E23&lt;='분석조건'!$B$15),1,0)</x:f>
        <x:v>0</x:v>
      </x:c>
    </x:row>
    <x:row r="24" ht="78" customHeight="1">
      <x:c r="A24" s="2" t="str">
        <x:v>03A-002-Ver03</x:v>
      </x:c>
      <x:c r="B24" s="2" t="str">
        <x:v>03A-002</x:v>
      </x:c>
      <x:c r="C24" s="17" t="str">
        <x:v>03</x:v>
      </x:c>
      <x:c r="D24" s="2" t="str">
        <x:v>revision</x:v>
      </x:c>
      <x:c r="E24" s="7" t="n">
        <x:v>45447</x:v>
      </x:c>
      <x:c r="F24" s="13" t="str">
        <x:v>연료 전환 사업의 방법론</x:v>
      </x:c>
      <x:c r="G24" s="13" t="str">
        <x:v>https://ors.gir.go.kr/home/orme010/historyRead.do?methdSeq=466&amp;menuId=12</x:v>
      </x:c>
      <x:c r="H24" s="14" t="n">
        <x:v>3</x:v>
      </x:c>
      <x:c r="I24" s="14" t="n">
        <x:f>IF(E24&lt;='분석조건'!$B$5,1,0)</x:f>
        <x:v>1</x:v>
      </x:c>
      <x:c r="J24" s="14" t="n">
        <x:f>INDEX('방법론'!$L$7:$L$39,MATCH(B24,'방법론'!$A$7:$A$39,0))</x:f>
        <x:v>1</x:v>
      </x:c>
      <x:c r="K24" s="14" t="n">
        <x:f>I24*J24</x:f>
        <x:v>1</x:v>
      </x:c>
      <x:c r="L24" s="14" t="n">
        <x:f>YEAR(E24)</x:f>
        <x:v>2024</x:v>
      </x:c>
      <x:c r="M24" s="14" t="n">
        <x:f>IF(AND(K24=1,'분석조건'!$B$5-E24&lt;'분석조건'!$B$11),1,0)</x:f>
        <x:v>0</x:v>
      </x:c>
      <x:c r="N24" s="14" t="n">
        <x:f>IF(AND(K24=1,E24&gt;=DATE('분석조건'!$B$6,1,1),E24&lt;='분석조건'!$B$14),1,0)</x:f>
        <x:v>0</x:v>
      </x:c>
      <x:c r="O24" s="14" t="n">
        <x:f>IF(AND(K24=1,E24&gt;=DATE('분석조건'!$B$6-1,1,1),E24&lt;='분석조건'!$B$15),1,0)</x:f>
        <x:v>0</x:v>
      </x:c>
    </x:row>
    <x:row r="25" ht="78" customHeight="1">
      <x:c r="A25" s="2" t="str">
        <x:v>03A-003-Ver01</x:v>
      </x:c>
      <x:c r="B25" s="2" t="str">
        <x:v>03A-003</x:v>
      </x:c>
      <x:c r="C25" s="17" t="str">
        <x:v>01</x:v>
      </x:c>
      <x:c r="D25" s="2" t="str">
        <x:v>new</x:v>
      </x:c>
      <x:c r="E25" s="7" t="n">
        <x:v>42115</x:v>
      </x:c>
      <x:c r="F25" s="13" t="str">
        <x:v>전력절감설비 설치사업의 방법론</x:v>
      </x:c>
      <x:c r="G25" s="13" t="str">
        <x:v>https://ors.gir.go.kr/home/orme010/historyRead.do?methdSeq=22&amp;menuId=12</x:v>
      </x:c>
      <x:c r="H25" s="14" t="n">
        <x:v>1</x:v>
      </x:c>
      <x:c r="I25" s="14" t="n">
        <x:f>IF(E25&lt;='분석조건'!$B$5,1,0)</x:f>
        <x:v>1</x:v>
      </x:c>
      <x:c r="J25" s="14" t="n">
        <x:f>INDEX('방법론'!$L$7:$L$39,MATCH(B25,'방법론'!$A$7:$A$39,0))</x:f>
        <x:v>1</x:v>
      </x:c>
      <x:c r="K25" s="14" t="n">
        <x:f>I25*J25</x:f>
        <x:v>1</x:v>
      </x:c>
      <x:c r="L25" s="14" t="n">
        <x:f>YEAR(E25)</x:f>
        <x:v>2015</x:v>
      </x:c>
      <x:c r="M25" s="14" t="n">
        <x:f>IF(AND(K25=1,'분석조건'!$B$5-E25&lt;'분석조건'!$B$11),1,0)</x:f>
        <x:v>0</x:v>
      </x:c>
      <x:c r="N25" s="14" t="n">
        <x:f>IF(AND(K25=1,E25&gt;=DATE('분석조건'!$B$6,1,1),E25&lt;='분석조건'!$B$14),1,0)</x:f>
        <x:v>0</x:v>
      </x:c>
      <x:c r="O25" s="14" t="n">
        <x:f>IF(AND(K25=1,E25&gt;=DATE('분석조건'!$B$6-1,1,1),E25&lt;='분석조건'!$B$15),1,0)</x:f>
        <x:v>0</x:v>
      </x:c>
    </x:row>
    <x:row r="26" ht="78" customHeight="1">
      <x:c r="A26" s="2" t="str">
        <x:v>03A-004-Ver01</x:v>
      </x:c>
      <x:c r="B26" s="2" t="str">
        <x:v>03A-004</x:v>
      </x:c>
      <x:c r="C26" s="17" t="str">
        <x:v>01</x:v>
      </x:c>
      <x:c r="D26" s="2" t="str">
        <x:v>new</x:v>
      </x:c>
      <x:c r="E26" s="7" t="n">
        <x:v>42115</x:v>
      </x:c>
      <x:c r="F26" s="13" t="str">
        <x:v>고효율 설비 교체 사업의 방법론</x:v>
      </x:c>
      <x:c r="G26" s="13" t="str">
        <x:v>https://ors.gir.go.kr/home/orme010/historyRead.do?methdSeq=23&amp;menuId=12</x:v>
      </x:c>
      <x:c r="H26" s="14" t="n">
        <x:v>1</x:v>
      </x:c>
      <x:c r="I26" s="14" t="n">
        <x:f>IF(E26&lt;='분석조건'!$B$5,1,0)</x:f>
        <x:v>1</x:v>
      </x:c>
      <x:c r="J26" s="14" t="n">
        <x:f>INDEX('방법론'!$L$7:$L$39,MATCH(B26,'방법론'!$A$7:$A$39,0))</x:f>
        <x:v>1</x:v>
      </x:c>
      <x:c r="K26" s="14" t="n">
        <x:f>I26*J26</x:f>
        <x:v>1</x:v>
      </x:c>
      <x:c r="L26" s="14" t="n">
        <x:f>YEAR(E26)</x:f>
        <x:v>2015</x:v>
      </x:c>
      <x:c r="M26" s="14" t="n">
        <x:f>IF(AND(K26=1,'분석조건'!$B$5-E26&lt;'분석조건'!$B$11),1,0)</x:f>
        <x:v>0</x:v>
      </x:c>
      <x:c r="N26" s="14" t="n">
        <x:f>IF(AND(K26=1,E26&gt;=DATE('분석조건'!$B$6,1,1),E26&lt;='분석조건'!$B$14),1,0)</x:f>
        <x:v>0</x:v>
      </x:c>
      <x:c r="O26" s="14" t="n">
        <x:f>IF(AND(K26=1,E26&gt;=DATE('분석조건'!$B$6-1,1,1),E26&lt;='분석조건'!$B$15),1,0)</x:f>
        <x:v>0</x:v>
      </x:c>
    </x:row>
    <x:row r="27" ht="78" customHeight="1">
      <x:c r="A27" s="2" t="str">
        <x:v>03A-006-Ver01</x:v>
      </x:c>
      <x:c r="B27" s="2" t="str">
        <x:v>03A-006</x:v>
      </x:c>
      <x:c r="C27" s="17" t="str">
        <x:v>01</x:v>
      </x:c>
      <x:c r="D27" s="2" t="str">
        <x:v>new</x:v>
      </x:c>
      <x:c r="E27" s="7" t="n">
        <x:v>42115</x:v>
      </x:c>
      <x:c r="F27" s="13" t="str">
        <x:v>고효율 도로조명 설치 사업의 방법론</x:v>
      </x:c>
      <x:c r="G27" s="13" t="str">
        <x:v>https://ors.gir.go.kr/home/orme010/historyRead.do?methdSeq=25&amp;menuId=12</x:v>
      </x:c>
      <x:c r="H27" s="14" t="n">
        <x:v>1</x:v>
      </x:c>
      <x:c r="I27" s="14" t="n">
        <x:f>IF(E27&lt;='분석조건'!$B$5,1,0)</x:f>
        <x:v>1</x:v>
      </x:c>
      <x:c r="J27" s="14" t="n">
        <x:f>INDEX('방법론'!$L$7:$L$39,MATCH(B27,'방법론'!$A$7:$A$39,0))</x:f>
        <x:v>1</x:v>
      </x:c>
      <x:c r="K27" s="14" t="n">
        <x:f>I27*J27</x:f>
        <x:v>1</x:v>
      </x:c>
      <x:c r="L27" s="14" t="n">
        <x:f>YEAR(E27)</x:f>
        <x:v>2015</x:v>
      </x:c>
      <x:c r="M27" s="14" t="n">
        <x:f>IF(AND(K27=1,'분석조건'!$B$5-E27&lt;'분석조건'!$B$11),1,0)</x:f>
        <x:v>0</x:v>
      </x:c>
      <x:c r="N27" s="14" t="n">
        <x:f>IF(AND(K27=1,E27&gt;=DATE('분석조건'!$B$6,1,1),E27&lt;='분석조건'!$B$14),1,0)</x:f>
        <x:v>0</x:v>
      </x:c>
      <x:c r="O27" s="14" t="n">
        <x:f>IF(AND(K27=1,E27&gt;=DATE('분석조건'!$B$6-1,1,1),E27&lt;='분석조건'!$B$15),1,0)</x:f>
        <x:v>0</x:v>
      </x:c>
    </x:row>
    <x:row r="28" ht="78" customHeight="1">
      <x:c r="A28" s="2" t="str">
        <x:v>03A-008-Ver01</x:v>
      </x:c>
      <x:c r="B28" s="2" t="str">
        <x:v>03A-008</x:v>
      </x:c>
      <x:c r="C28" s="17" t="str">
        <x:v>01</x:v>
      </x:c>
      <x:c r="D28" s="2" t="str">
        <x:v>new</x:v>
      </x:c>
      <x:c r="E28" s="7" t="n">
        <x:v>42405</x:v>
      </x:c>
      <x:c r="F28" s="13" t="str">
        <x:v>미활용 열에너지 회수를 통한 전력생산 및 계통연게 사업의 방법론</x:v>
      </x:c>
      <x:c r="G28" s="13" t="str">
        <x:v>https://ors.gir.go.kr/home/orme010/historyRead.do?methdSeq=42&amp;menuId=12</x:v>
      </x:c>
      <x:c r="H28" s="14" t="n">
        <x:v>1</x:v>
      </x:c>
      <x:c r="I28" s="14" t="n">
        <x:f>IF(E28&lt;='분석조건'!$B$5,1,0)</x:f>
        <x:v>1</x:v>
      </x:c>
      <x:c r="J28" s="14" t="n">
        <x:f>INDEX('방법론'!$L$7:$L$39,MATCH(B28,'방법론'!$A$7:$A$39,0))</x:f>
        <x:v>1</x:v>
      </x:c>
      <x:c r="K28" s="14" t="n">
        <x:f>I28*J28</x:f>
        <x:v>1</x:v>
      </x:c>
      <x:c r="L28" s="14" t="n">
        <x:f>YEAR(E28)</x:f>
        <x:v>2016</x:v>
      </x:c>
      <x:c r="M28" s="14" t="n">
        <x:f>IF(AND(K28=1,'분석조건'!$B$5-E28&lt;'분석조건'!$B$11),1,0)</x:f>
        <x:v>0</x:v>
      </x:c>
      <x:c r="N28" s="14" t="n">
        <x:f>IF(AND(K28=1,E28&gt;=DATE('분석조건'!$B$6,1,1),E28&lt;='분석조건'!$B$14),1,0)</x:f>
        <x:v>0</x:v>
      </x:c>
      <x:c r="O28" s="14" t="n">
        <x:f>IF(AND(K28=1,E28&gt;=DATE('분석조건'!$B$6-1,1,1),E28&lt;='분석조건'!$B$15),1,0)</x:f>
        <x:v>0</x:v>
      </x:c>
    </x:row>
    <x:row r="29" ht="78" customHeight="1">
      <x:c r="A29" s="2" t="str">
        <x:v>03A-013-Ver01</x:v>
      </x:c>
      <x:c r="B29" s="2" t="str">
        <x:v>03A-013</x:v>
      </x:c>
      <x:c r="C29" s="17" t="str">
        <x:v>01</x:v>
      </x:c>
      <x:c r="D29" s="2" t="str">
        <x:v>new</x:v>
      </x:c>
      <x:c r="E29" s="7" t="n">
        <x:v>43081</x:v>
      </x:c>
      <x:c r="F29" s="13" t="str">
        <x:v>주거용 시설의 심야 전기보일러에서 축열식 히트펌프 보일러로 교체 사업의 방법론</x:v>
      </x:c>
      <x:c r="G29" s="13" t="str">
        <x:v>https://ors.gir.go.kr/home/orme010/historyRead.do?methdSeq=50&amp;menuId=12</x:v>
      </x:c>
      <x:c r="H29" s="14" t="n">
        <x:v>1</x:v>
      </x:c>
      <x:c r="I29" s="14" t="n">
        <x:f>IF(E29&lt;='분석조건'!$B$5,1,0)</x:f>
        <x:v>1</x:v>
      </x:c>
      <x:c r="J29" s="14" t="n">
        <x:f>INDEX('방법론'!$L$7:$L$39,MATCH(B29,'방법론'!$A$7:$A$39,0))</x:f>
        <x:v>1</x:v>
      </x:c>
      <x:c r="K29" s="14" t="n">
        <x:f>I29*J29</x:f>
        <x:v>1</x:v>
      </x:c>
      <x:c r="L29" s="14" t="n">
        <x:f>YEAR(E29)</x:f>
        <x:v>2017</x:v>
      </x:c>
      <x:c r="M29" s="14" t="n">
        <x:f>IF(AND(K29=1,'분석조건'!$B$5-E29&lt;'분석조건'!$B$11),1,0)</x:f>
        <x:v>0</x:v>
      </x:c>
      <x:c r="N29" s="14" t="n">
        <x:f>IF(AND(K29=1,E29&gt;=DATE('분석조건'!$B$6,1,1),E29&lt;='분석조건'!$B$14),1,0)</x:f>
        <x:v>0</x:v>
      </x:c>
      <x:c r="O29" s="14" t="n">
        <x:f>IF(AND(K29=1,E29&gt;=DATE('분석조건'!$B$6-1,1,1),E29&lt;='분석조건'!$B$15),1,0)</x:f>
        <x:v>0</x:v>
      </x:c>
    </x:row>
    <x:row r="30" ht="78" customHeight="1">
      <x:c r="A30" s="2" t="str">
        <x:v>03A-016-Ver01</x:v>
      </x:c>
      <x:c r="B30" s="2" t="str">
        <x:v>03A-016</x:v>
      </x:c>
      <x:c r="C30" s="17" t="str">
        <x:v>01</x:v>
      </x:c>
      <x:c r="D30" s="2" t="str">
        <x:v>new</x:v>
      </x:c>
      <x:c r="E30" s="7" t="n">
        <x:v>43886</x:v>
      </x:c>
      <x:c r="F30" s="13" t="str">
        <x:v>LPG집단공급시설 설치를 통한 연료 전환 사업의 방법론</x:v>
      </x:c>
      <x:c r="G30" s="13" t="str">
        <x:v>https://ors.gir.go.kr/home/orme010/historyRead.do?methdSeq=337&amp;menuId=12</x:v>
      </x:c>
      <x:c r="H30" s="14" t="n">
        <x:v>1</x:v>
      </x:c>
      <x:c r="I30" s="14" t="n">
        <x:f>IF(E30&lt;='분석조건'!$B$5,1,0)</x:f>
        <x:v>1</x:v>
      </x:c>
      <x:c r="J30" s="14" t="n">
        <x:f>INDEX('방법론'!$L$7:$L$39,MATCH(B30,'방법론'!$A$7:$A$39,0))</x:f>
        <x:v>1</x:v>
      </x:c>
      <x:c r="K30" s="14" t="n">
        <x:f>I30*J30</x:f>
        <x:v>1</x:v>
      </x:c>
      <x:c r="L30" s="14" t="n">
        <x:f>YEAR(E30)</x:f>
        <x:v>2020</x:v>
      </x:c>
      <x:c r="M30" s="14" t="n">
        <x:f>IF(AND(K30=1,'분석조건'!$B$5-E30&lt;'분석조건'!$B$11),1,0)</x:f>
        <x:v>0</x:v>
      </x:c>
      <x:c r="N30" s="14" t="n">
        <x:f>IF(AND(K30=1,E30&gt;=DATE('분석조건'!$B$6,1,1),E30&lt;='분석조건'!$B$14),1,0)</x:f>
        <x:v>0</x:v>
      </x:c>
      <x:c r="O30" s="14" t="n">
        <x:f>IF(AND(K30=1,E30&gt;=DATE('분석조건'!$B$6-1,1,1),E30&lt;='분석조건'!$B$15),1,0)</x:f>
        <x:v>0</x:v>
      </x:c>
    </x:row>
    <x:row r="31" ht="78" customHeight="1">
      <x:c r="A31" s="2" t="str">
        <x:v>03A-018-Ver01</x:v>
      </x:c>
      <x:c r="B31" s="2" t="str">
        <x:v>03A-018</x:v>
      </x:c>
      <x:c r="C31" s="17" t="str">
        <x:v>01</x:v>
      </x:c>
      <x:c r="D31" s="2" t="str">
        <x:v>new</x:v>
      </x:c>
      <x:c r="E31" s="7" t="n">
        <x:v>44120</x:v>
      </x:c>
      <x:c r="F31" s="13" t="str">
        <x:v>Single RAN 설비를 도입하여 legacy 전기통신설비를 대체하는 사업의 방법론</x:v>
      </x:c>
      <x:c r="G31" s="13" t="str">
        <x:v>https://ors.gir.go.kr/home/orme010/historyRead.do?methdSeq=333&amp;menuId=12</x:v>
      </x:c>
      <x:c r="H31" s="14" t="n">
        <x:v>1</x:v>
      </x:c>
      <x:c r="I31" s="14" t="n">
        <x:f>IF(E31&lt;='분석조건'!$B$5,1,0)</x:f>
        <x:v>1</x:v>
      </x:c>
      <x:c r="J31" s="14" t="n">
        <x:f>INDEX('방법론'!$L$7:$L$39,MATCH(B31,'방법론'!$A$7:$A$39,0))</x:f>
        <x:v>1</x:v>
      </x:c>
      <x:c r="K31" s="14" t="n">
        <x:f>I31*J31</x:f>
        <x:v>1</x:v>
      </x:c>
      <x:c r="L31" s="14" t="n">
        <x:f>YEAR(E31)</x:f>
        <x:v>2020</x:v>
      </x:c>
      <x:c r="M31" s="14" t="n">
        <x:f>IF(AND(K31=1,'분석조건'!$B$5-E31&lt;'분석조건'!$B$11),1,0)</x:f>
        <x:v>0</x:v>
      </x:c>
      <x:c r="N31" s="14" t="n">
        <x:f>IF(AND(K31=1,E31&gt;=DATE('분석조건'!$B$6,1,1),E31&lt;='분석조건'!$B$14),1,0)</x:f>
        <x:v>0</x:v>
      </x:c>
      <x:c r="O31" s="14" t="n">
        <x:f>IF(AND(K31=1,E31&gt;=DATE('분석조건'!$B$6-1,1,1),E31&lt;='분석조건'!$B$15),1,0)</x:f>
        <x:v>0</x:v>
      </x:c>
    </x:row>
    <x:row r="32" ht="78" customHeight="1">
      <x:c r="A32" s="2" t="str">
        <x:v>03A-027-Ver01</x:v>
      </x:c>
      <x:c r="B32" s="2" t="str">
        <x:v>03A-027</x:v>
      </x:c>
      <x:c r="C32" s="17" t="str">
        <x:v>01</x:v>
      </x:c>
      <x:c r="D32" s="2" t="str">
        <x:v>new</x:v>
      </x:c>
      <x:c r="E32" s="7" t="n">
        <x:v>45359</x:v>
      </x:c>
      <x:c r="F32" s="13" t="str">
        <x:v>미활용 LNG 기화 냉열 활용을 통한 전력 및 또는 화석연료 사용 절감 사업의 방법론</x:v>
      </x:c>
      <x:c r="G32" s="13" t="str">
        <x:v>https://ors.gir.go.kr/home/orme010/historyRead.do?methdSeq=440&amp;menuId=12</x:v>
      </x:c>
      <x:c r="H32" s="14" t="n">
        <x:v>1</x:v>
      </x:c>
      <x:c r="I32" s="14" t="n">
        <x:f>IF(E32&lt;='분석조건'!$B$5,1,0)</x:f>
        <x:v>1</x:v>
      </x:c>
      <x:c r="J32" s="14" t="n">
        <x:f>INDEX('방법론'!$L$7:$L$39,MATCH(B32,'방법론'!$A$7:$A$39,0))</x:f>
        <x:v>1</x:v>
      </x:c>
      <x:c r="K32" s="14" t="n">
        <x:f>I32*J32</x:f>
        <x:v>1</x:v>
      </x:c>
      <x:c r="L32" s="14" t="n">
        <x:f>YEAR(E32)</x:f>
        <x:v>2024</x:v>
      </x:c>
      <x:c r="M32" s="14" t="n">
        <x:f>IF(AND(K32=1,'분석조건'!$B$5-E32&lt;'분석조건'!$B$11),1,0)</x:f>
        <x:v>0</x:v>
      </x:c>
      <x:c r="N32" s="14" t="n">
        <x:f>IF(AND(K32=1,E32&gt;=DATE('분석조건'!$B$6,1,1),E32&lt;='분석조건'!$B$14),1,0)</x:f>
        <x:v>0</x:v>
      </x:c>
      <x:c r="O32" s="14" t="n">
        <x:f>IF(AND(K32=1,E32&gt;=DATE('분석조건'!$B$6-1,1,1),E32&lt;='분석조건'!$B$15),1,0)</x:f>
        <x:v>0</x:v>
      </x:c>
    </x:row>
    <x:row r="33" ht="78" customHeight="1">
      <x:c r="A33" s="2" t="str">
        <x:v>03A-030-Ver01</x:v>
      </x:c>
      <x:c r="B33" s="2" t="str">
        <x:v>03A-030</x:v>
      </x:c>
      <x:c r="C33" s="17" t="str">
        <x:v>01</x:v>
      </x:c>
      <x:c r="D33" s="2" t="str">
        <x:v>new</x:v>
      </x:c>
      <x:c r="E33" s="7" t="n">
        <x:v>45447</x:v>
      </x:c>
      <x:c r="F33" s="13" t="str">
        <x:v>미활용 열에너지 회수 및 이용 또는  계통연계 사업의 방법론</x:v>
      </x:c>
      <x:c r="G33" s="13" t="str">
        <x:v>https://ors.gir.go.kr/home/orme010/historyRead.do?methdSeq=531&amp;menuId=12</x:v>
      </x:c>
      <x:c r="H33" s="14" t="n">
        <x:v>1</x:v>
      </x:c>
      <x:c r="I33" s="14" t="n">
        <x:f>IF(E33&lt;='분석조건'!$B$5,1,0)</x:f>
        <x:v>1</x:v>
      </x:c>
      <x:c r="J33" s="14" t="n">
        <x:f>INDEX('방법론'!$L$7:$L$39,MATCH(B33,'방법론'!$A$7:$A$39,0))</x:f>
        <x:v>1</x:v>
      </x:c>
      <x:c r="K33" s="14" t="n">
        <x:f>I33*J33</x:f>
        <x:v>1</x:v>
      </x:c>
      <x:c r="L33" s="14" t="n">
        <x:f>YEAR(E33)</x:f>
        <x:v>2024</x:v>
      </x:c>
      <x:c r="M33" s="14" t="n">
        <x:f>IF(AND(K33=1,'분석조건'!$B$5-E33&lt;'분석조건'!$B$11),1,0)</x:f>
        <x:v>0</x:v>
      </x:c>
      <x:c r="N33" s="14" t="n">
        <x:f>IF(AND(K33=1,E33&gt;=DATE('분석조건'!$B$6,1,1),E33&lt;='분석조건'!$B$14),1,0)</x:f>
        <x:v>0</x:v>
      </x:c>
      <x:c r="O33" s="14" t="n">
        <x:f>IF(AND(K33=1,E33&gt;=DATE('분석조건'!$B$6-1,1,1),E33&lt;='분석조건'!$B$15),1,0)</x:f>
        <x:v>0</x:v>
      </x:c>
    </x:row>
    <x:row r="34" ht="78" customHeight="1">
      <x:c r="A34" s="2" t="str">
        <x:v>03A-030-Ver02</x:v>
      </x:c>
      <x:c r="B34" s="2" t="str">
        <x:v>03A-030</x:v>
      </x:c>
      <x:c r="C34" s="17" t="str">
        <x:v>02</x:v>
      </x:c>
      <x:c r="D34" s="2" t="str">
        <x:v>revision</x:v>
      </x:c>
      <x:c r="E34" s="7" t="n">
        <x:v>45993</x:v>
      </x:c>
      <x:c r="F34" s="13" t="str">
        <x:v>미활용 열에너지 회수 및 이용 또는 계통연계 사업의 방법론</x:v>
      </x:c>
      <x:c r="G34" s="13" t="str">
        <x:v>https://ors.gir.go.kr/home/orme010/historyRead.do?methdSeq=531&amp;menuId=12</x:v>
      </x:c>
      <x:c r="H34" s="14" t="n">
        <x:v>2</x:v>
      </x:c>
      <x:c r="I34" s="14" t="n">
        <x:f>IF(E34&lt;='분석조건'!$B$5,1,0)</x:f>
        <x:v>1</x:v>
      </x:c>
      <x:c r="J34" s="14" t="n">
        <x:f>INDEX('방법론'!$L$7:$L$39,MATCH(B34,'방법론'!$A$7:$A$39,0))</x:f>
        <x:v>1</x:v>
      </x:c>
      <x:c r="K34" s="14" t="n">
        <x:f>I34*J34</x:f>
        <x:v>1</x:v>
      </x:c>
      <x:c r="L34" s="14" t="n">
        <x:f>YEAR(E34)</x:f>
        <x:v>2025</x:v>
      </x:c>
      <x:c r="M34" s="14" t="n">
        <x:f>IF(AND(K34=1,'분석조건'!$B$5-E34&lt;'분석조건'!$B$11),1,0)</x:f>
        <x:v>1</x:v>
      </x:c>
      <x:c r="N34" s="14" t="n">
        <x:f>IF(AND(K34=1,E34&gt;=DATE('분석조건'!$B$6,1,1),E34&lt;='분석조건'!$B$14),1,0)</x:f>
        <x:v>0</x:v>
      </x:c>
      <x:c r="O34" s="14" t="n">
        <x:f>IF(AND(K34=1,E34&gt;=DATE('분석조건'!$B$6-1,1,1),E34&lt;='분석조건'!$B$15),1,0)</x:f>
        <x:v>0</x:v>
      </x:c>
    </x:row>
    <x:row r="35" ht="78" customHeight="1">
      <x:c r="A35" s="2" t="str">
        <x:v>03A-033-Ver01</x:v>
      </x:c>
      <x:c r="B35" s="2" t="str">
        <x:v>03A-033</x:v>
      </x:c>
      <x:c r="C35" s="17" t="str">
        <x:v>01</x:v>
      </x:c>
      <x:c r="D35" s="2" t="str">
        <x:v>new</x:v>
      </x:c>
      <x:c r="E35" s="7" t="n">
        <x:v>45721</x:v>
      </x:c>
      <x:c r="F35" s="13" t="str">
        <x:v>공동 통신망 기술 적용에 따른 온실가스 감축사업의 방법론</x:v>
      </x:c>
      <x:c r="G35" s="13" t="str">
        <x:v>https://ors.gir.go.kr/home/orme010/historyRead.do?methdSeq=436&amp;menuId=12</x:v>
      </x:c>
      <x:c r="H35" s="14" t="n">
        <x:v>1</x:v>
      </x:c>
      <x:c r="I35" s="14" t="n">
        <x:f>IF(E35&lt;='분석조건'!$B$5,1,0)</x:f>
        <x:v>1</x:v>
      </x:c>
      <x:c r="J35" s="14" t="n">
        <x:f>INDEX('방법론'!$L$7:$L$39,MATCH(B35,'방법론'!$A$7:$A$39,0))</x:f>
        <x:v>1</x:v>
      </x:c>
      <x:c r="K35" s="14" t="n">
        <x:f>I35*J35</x:f>
        <x:v>1</x:v>
      </x:c>
      <x:c r="L35" s="14" t="n">
        <x:f>YEAR(E35)</x:f>
        <x:v>2025</x:v>
      </x:c>
      <x:c r="M35" s="14" t="n">
        <x:f>IF(AND(K35=1,'분석조건'!$B$5-E35&lt;'분석조건'!$B$11),1,0)</x:f>
        <x:v>0</x:v>
      </x:c>
      <x:c r="N35" s="14" t="n">
        <x:f>IF(AND(K35=1,E35&gt;=DATE('분석조건'!$B$6,1,1),E35&lt;='분석조건'!$B$14),1,0)</x:f>
        <x:v>0</x:v>
      </x:c>
      <x:c r="O35" s="14" t="n">
        <x:f>IF(AND(K35=1,E35&gt;=DATE('분석조건'!$B$6-1,1,1),E35&lt;='분석조건'!$B$15),1,0)</x:f>
        <x:v>1</x:v>
      </x:c>
    </x:row>
    <x:row r="36" ht="78" customHeight="1">
      <x:c r="A36" s="2" t="str">
        <x:v>04A-001-Ver01</x:v>
      </x:c>
      <x:c r="B36" s="2" t="str">
        <x:v>04A-001</x:v>
      </x:c>
      <x:c r="C36" s="17" t="str">
        <x:v>01</x:v>
      </x:c>
      <x:c r="D36" s="2" t="str">
        <x:v>new</x:v>
      </x:c>
      <x:c r="E36" s="7" t="n">
        <x:v>44908</x:v>
      </x:c>
      <x:c r="F36" s="13" t="str">
        <x:v>혼합시멘트 생산에서 원료의 부분적인 전환 및 혼합재 비율 증가를 통한 온실가스 감축</x:v>
      </x:c>
      <x:c r="G36" s="13" t="str">
        <x:v>https://ors.gir.go.kr/home/orme010/historyRead.do?methdSeq=330&amp;menuId=12</x:v>
      </x:c>
      <x:c r="H36" s="14" t="n">
        <x:v>1</x:v>
      </x:c>
      <x:c r="I36" s="14" t="n">
        <x:f>IF(E36&lt;='분석조건'!$B$5,1,0)</x:f>
        <x:v>1</x:v>
      </x:c>
      <x:c r="J36" s="14" t="n">
        <x:f>INDEX('방법론'!$L$7:$L$39,MATCH(B36,'방법론'!$A$7:$A$39,0))</x:f>
        <x:v>1</x:v>
      </x:c>
      <x:c r="K36" s="14" t="n">
        <x:f>I36*J36</x:f>
        <x:v>1</x:v>
      </x:c>
      <x:c r="L36" s="14" t="n">
        <x:f>YEAR(E36)</x:f>
        <x:v>2022</x:v>
      </x:c>
      <x:c r="M36" s="14" t="n">
        <x:f>IF(AND(K36=1,'분석조건'!$B$5-E36&lt;'분석조건'!$B$11),1,0)</x:f>
        <x:v>0</x:v>
      </x:c>
      <x:c r="N36" s="14" t="n">
        <x:f>IF(AND(K36=1,E36&gt;=DATE('분석조건'!$B$6,1,1),E36&lt;='분석조건'!$B$14),1,0)</x:f>
        <x:v>0</x:v>
      </x:c>
      <x:c r="O36" s="14" t="n">
        <x:f>IF(AND(K36=1,E36&gt;=DATE('분석조건'!$B$6-1,1,1),E36&lt;='분석조건'!$B$15),1,0)</x:f>
        <x:v>0</x:v>
      </x:c>
    </x:row>
    <x:row r="37" ht="78" customHeight="1">
      <x:c r="A37" s="2" t="str">
        <x:v>04E-001-Ver01</x:v>
      </x:c>
      <x:c r="B37" s="2" t="str">
        <x:v>04E-001</x:v>
      </x:c>
      <x:c r="C37" s="17" t="str">
        <x:v>01</x:v>
      </x:c>
      <x:c r="D37" s="2" t="str">
        <x:v>new</x:v>
      </x:c>
      <x:c r="E37" s="7" t="n">
        <x:v>44908</x:v>
      </x:c>
      <x:c r="F37" s="13" t="str">
        <x:v>제지공정에서 침강성탄산칼슘 제조과정의 미활용 CO2 이용과 에너지절감 사업의 방법론</x:v>
      </x:c>
      <x:c r="G37" s="13" t="str">
        <x:v>https://ors.gir.go.kr/home/orme010/historyRead.do?methdSeq=369&amp;menuId=12</x:v>
      </x:c>
      <x:c r="H37" s="14" t="n">
        <x:v>1</x:v>
      </x:c>
      <x:c r="I37" s="14" t="n">
        <x:f>IF(E37&lt;='분석조건'!$B$5,1,0)</x:f>
        <x:v>1</x:v>
      </x:c>
      <x:c r="J37" s="14" t="n">
        <x:f>INDEX('방법론'!$L$7:$L$39,MATCH(B37,'방법론'!$A$7:$A$39,0))</x:f>
        <x:v>1</x:v>
      </x:c>
      <x:c r="K37" s="14" t="n">
        <x:f>I37*J37</x:f>
        <x:v>1</x:v>
      </x:c>
      <x:c r="L37" s="14" t="n">
        <x:f>YEAR(E37)</x:f>
        <x:v>2022</x:v>
      </x:c>
      <x:c r="M37" s="14" t="n">
        <x:f>IF(AND(K37=1,'분석조건'!$B$5-E37&lt;'분석조건'!$B$11),1,0)</x:f>
        <x:v>0</x:v>
      </x:c>
      <x:c r="N37" s="14" t="n">
        <x:f>IF(AND(K37=1,E37&gt;=DATE('분석조건'!$B$6,1,1),E37&lt;='분석조건'!$B$14),1,0)</x:f>
        <x:v>0</x:v>
      </x:c>
      <x:c r="O37" s="14" t="n">
        <x:f>IF(AND(K37=1,E37&gt;=DATE('분석조건'!$B$6-1,1,1),E37&lt;='분석조건'!$B$15),1,0)</x:f>
        <x:v>0</x:v>
      </x:c>
    </x:row>
    <x:row r="38" ht="78" customHeight="1">
      <x:c r="A38" s="2" t="str">
        <x:v>05A-001-Ver01</x:v>
      </x:c>
      <x:c r="B38" s="2" t="str">
        <x:v>05A-001</x:v>
      </x:c>
      <x:c r="C38" s="17" t="str">
        <x:v>01</x:v>
      </x:c>
      <x:c r="D38" s="2" t="str">
        <x:v>new</x:v>
      </x:c>
      <x:c r="E38" s="7" t="n">
        <x:v>44120</x:v>
      </x:c>
      <x:c r="F38" s="13" t="str">
        <x:v>부생수소 활용을 통한 수소제조공정 대체사업의 방법론</x:v>
      </x:c>
      <x:c r="G38" s="13" t="str">
        <x:v>https://ors.gir.go.kr/home/orme010/historyRead.do?methdSeq=325&amp;menuId=12</x:v>
      </x:c>
      <x:c r="H38" s="14" t="n">
        <x:v>1</x:v>
      </x:c>
      <x:c r="I38" s="14" t="n">
        <x:f>IF(E38&lt;='분석조건'!$B$5,1,0)</x:f>
        <x:v>1</x:v>
      </x:c>
      <x:c r="J38" s="14" t="n">
        <x:f>INDEX('방법론'!$L$7:$L$39,MATCH(B38,'방법론'!$A$7:$A$39,0))</x:f>
        <x:v>1</x:v>
      </x:c>
      <x:c r="K38" s="14" t="n">
        <x:f>I38*J38</x:f>
        <x:v>1</x:v>
      </x:c>
      <x:c r="L38" s="14" t="n">
        <x:f>YEAR(E38)</x:f>
        <x:v>2020</x:v>
      </x:c>
      <x:c r="M38" s="14" t="n">
        <x:f>IF(AND(K38=1,'분석조건'!$B$5-E38&lt;'분석조건'!$B$11),1,0)</x:f>
        <x:v>0</x:v>
      </x:c>
      <x:c r="N38" s="14" t="n">
        <x:f>IF(AND(K38=1,E38&gt;=DATE('분석조건'!$B$6,1,1),E38&lt;='분석조건'!$B$14),1,0)</x:f>
        <x:v>0</x:v>
      </x:c>
      <x:c r="O38" s="14" t="n">
        <x:f>IF(AND(K38=1,E38&gt;=DATE('분석조건'!$B$6-1,1,1),E38&lt;='분석조건'!$B$15),1,0)</x:f>
        <x:v>0</x:v>
      </x:c>
    </x:row>
    <x:row r="39" ht="78" customHeight="1">
      <x:c r="A39" s="2" t="str">
        <x:v>06A-001-Ver01</x:v>
      </x:c>
      <x:c r="B39" s="2" t="str">
        <x:v>06A-001</x:v>
      </x:c>
      <x:c r="C39" s="17" t="str">
        <x:v>01</x:v>
      </x:c>
      <x:c r="D39" s="2" t="str">
        <x:v>new</x:v>
      </x:c>
      <x:c r="E39" s="7" t="n">
        <x:v>44558</x:v>
      </x:c>
      <x:c r="F39" s="13" t="str">
        <x:v>국내 중온 아스팔트 혼합물 생산을 통한 연료 및 온실가스 저감에 대한 방법론</x:v>
      </x:c>
      <x:c r="G39" s="13" t="str">
        <x:v>https://ors.gir.go.kr/home/orme010/historyRead.do?methdSeq=324&amp;menuId=12</x:v>
      </x:c>
      <x:c r="H39" s="14" t="n">
        <x:v>1</x:v>
      </x:c>
      <x:c r="I39" s="14" t="n">
        <x:f>IF(E39&lt;='분석조건'!$B$5,1,0)</x:f>
        <x:v>1</x:v>
      </x:c>
      <x:c r="J39" s="14" t="n">
        <x:f>INDEX('방법론'!$L$7:$L$39,MATCH(B39,'방법론'!$A$7:$A$39,0))</x:f>
        <x:v>1</x:v>
      </x:c>
      <x:c r="K39" s="14" t="n">
        <x:f>I39*J39</x:f>
        <x:v>1</x:v>
      </x:c>
      <x:c r="L39" s="14" t="n">
        <x:f>YEAR(E39)</x:f>
        <x:v>2021</x:v>
      </x:c>
      <x:c r="M39" s="14" t="n">
        <x:f>IF(AND(K39=1,'분석조건'!$B$5-E39&lt;'분석조건'!$B$11),1,0)</x:f>
        <x:v>0</x:v>
      </x:c>
      <x:c r="N39" s="14" t="n">
        <x:f>IF(AND(K39=1,E39&gt;=DATE('분석조건'!$B$6,1,1),E39&lt;='분석조건'!$B$14),1,0)</x:f>
        <x:v>0</x:v>
      </x:c>
      <x:c r="O39" s="14" t="n">
        <x:f>IF(AND(K39=1,E39&gt;=DATE('분석조건'!$B$6-1,1,1),E39&lt;='분석조건'!$B$15),1,0)</x:f>
        <x:v>0</x:v>
      </x:c>
    </x:row>
    <x:row r="40" ht="78" customHeight="1">
      <x:c r="A40" s="2" t="str">
        <x:v>11B-001-Ver01</x:v>
      </x:c>
      <x:c r="B40" s="2" t="str">
        <x:v>11B-001</x:v>
      </x:c>
      <x:c r="C40" s="17" t="str">
        <x:v>01</x:v>
      </x:c>
      <x:c r="D40" s="2" t="str">
        <x:v>new</x:v>
      </x:c>
      <x:c r="E40" s="7" t="n">
        <x:v>43081</x:v>
      </x:c>
      <x:c r="F40" s="13" t="str">
        <x:v>가스절연개폐장치 검사용 SF6 회수ㆍ정제 및 재사용을 통한 SF6 감축사업의 방법론</x:v>
      </x:c>
      <x:c r="G40" s="13" t="str">
        <x:v>https://ors.gir.go.kr/home/orme010/historyRead.do?methdSeq=49&amp;menuId=12</x:v>
      </x:c>
      <x:c r="H40" s="14" t="n">
        <x:v>1</x:v>
      </x:c>
      <x:c r="I40" s="14" t="n">
        <x:f>IF(E40&lt;='분석조건'!$B$5,1,0)</x:f>
        <x:v>1</x:v>
      </x:c>
      <x:c r="J40" s="14" t="n">
        <x:f>INDEX('방법론'!$L$7:$L$39,MATCH(B40,'방법론'!$A$7:$A$39,0))</x:f>
        <x:v>1</x:v>
      </x:c>
      <x:c r="K40" s="14" t="n">
        <x:f>I40*J40</x:f>
        <x:v>1</x:v>
      </x:c>
      <x:c r="L40" s="14" t="n">
        <x:f>YEAR(E40)</x:f>
        <x:v>2017</x:v>
      </x:c>
      <x:c r="M40" s="14" t="n">
        <x:f>IF(AND(K40=1,'분석조건'!$B$5-E40&lt;'분석조건'!$B$11),1,0)</x:f>
        <x:v>0</x:v>
      </x:c>
      <x:c r="N40" s="14" t="n">
        <x:f>IF(AND(K40=1,E40&gt;=DATE('분석조건'!$B$6,1,1),E40&lt;='분석조건'!$B$14),1,0)</x:f>
        <x:v>0</x:v>
      </x:c>
      <x:c r="O40" s="14" t="n">
        <x:f>IF(AND(K40=1,E40&gt;=DATE('분석조건'!$B$6-1,1,1),E40&lt;='분석조건'!$B$15),1,0)</x:f>
        <x:v>0</x:v>
      </x:c>
    </x:row>
    <x:row r="41" ht="78" customHeight="1">
      <x:c r="A41" s="2" t="str">
        <x:v>11B-002-Ver01</x:v>
      </x:c>
      <x:c r="B41" s="2" t="str">
        <x:v>11B-002</x:v>
      </x:c>
      <x:c r="C41" s="17" t="str">
        <x:v>01</x:v>
      </x:c>
      <x:c r="D41" s="2" t="str">
        <x:v>new</x:v>
      </x:c>
      <x:c r="E41" s="7" t="n">
        <x:v>44120</x:v>
      </x:c>
      <x:c r="F41" s="13" t="str">
        <x:v>광전지 제조 공정의 SF6 가스 처리를 통한 온실가스 감축 사업의 방법론</x:v>
      </x:c>
      <x:c r="G41" s="13" t="str">
        <x:v>https://ors.gir.go.kr/home/orme010/historyRead.do?methdSeq=315&amp;menuId=12</x:v>
      </x:c>
      <x:c r="H41" s="14" t="n">
        <x:v>1</x:v>
      </x:c>
      <x:c r="I41" s="14" t="n">
        <x:f>IF(E41&lt;='분석조건'!$B$5,1,0)</x:f>
        <x:v>1</x:v>
      </x:c>
      <x:c r="J41" s="14" t="n">
        <x:f>INDEX('방법론'!$L$7:$L$39,MATCH(B41,'방법론'!$A$7:$A$39,0))</x:f>
        <x:v>1</x:v>
      </x:c>
      <x:c r="K41" s="14" t="n">
        <x:f>I41*J41</x:f>
        <x:v>1</x:v>
      </x:c>
      <x:c r="L41" s="14" t="n">
        <x:f>YEAR(E41)</x:f>
        <x:v>2020</x:v>
      </x:c>
      <x:c r="M41" s="14" t="n">
        <x:f>IF(AND(K41=1,'분석조건'!$B$5-E41&lt;'분석조건'!$B$11),1,0)</x:f>
        <x:v>0</x:v>
      </x:c>
      <x:c r="N41" s="14" t="n">
        <x:f>IF(AND(K41=1,E41&gt;=DATE('분석조건'!$B$6,1,1),E41&lt;='분석조건'!$B$14),1,0)</x:f>
        <x:v>0</x:v>
      </x:c>
      <x:c r="O41" s="14" t="n">
        <x:f>IF(AND(K41=1,E41&gt;=DATE('분석조건'!$B$6-1,1,1),E41&lt;='분석조건'!$B$15),1,0)</x:f>
        <x:v>0</x:v>
      </x:c>
    </x:row>
    <x:row r="42" ht="78" customHeight="1">
      <x:c r="A42" s="2" t="str">
        <x:v>11B-003-Ver01</x:v>
      </x:c>
      <x:c r="B42" s="2" t="str">
        <x:v>11B-003</x:v>
      </x:c>
      <x:c r="C42" s="17" t="str">
        <x:v>01</x:v>
      </x:c>
      <x:c r="D42" s="2" t="str">
        <x:v>new</x:v>
      </x:c>
      <x:c r="E42" s="7" t="n">
        <x:v>44252</x:v>
      </x:c>
      <x:c r="F42" s="13" t="str">
        <x:v>발포제로 사용되는 HFC-152a 회수·정제 및 재사용을 통한 HFC-152a 감축사업의 방법론</x:v>
      </x:c>
      <x:c r="G42" s="13" t="str">
        <x:v>https://ors.gir.go.kr/home/orme010/historyRead.do?methdSeq=299&amp;menuId=12</x:v>
      </x:c>
      <x:c r="H42" s="14" t="n">
        <x:v>1</x:v>
      </x:c>
      <x:c r="I42" s="14" t="n">
        <x:f>IF(E42&lt;='분석조건'!$B$5,1,0)</x:f>
        <x:v>1</x:v>
      </x:c>
      <x:c r="J42" s="14" t="n">
        <x:f>INDEX('방법론'!$L$7:$L$39,MATCH(B42,'방법론'!$A$7:$A$39,0))</x:f>
        <x:v>1</x:v>
      </x:c>
      <x:c r="K42" s="14" t="n">
        <x:f>I42*J42</x:f>
        <x:v>1</x:v>
      </x:c>
      <x:c r="L42" s="14" t="n">
        <x:f>YEAR(E42)</x:f>
        <x:v>2021</x:v>
      </x:c>
      <x:c r="M42" s="14" t="n">
        <x:f>IF(AND(K42=1,'분석조건'!$B$5-E42&lt;'분석조건'!$B$11),1,0)</x:f>
        <x:v>0</x:v>
      </x:c>
      <x:c r="N42" s="14" t="n">
        <x:f>IF(AND(K42=1,E42&gt;=DATE('분석조건'!$B$6,1,1),E42&lt;='분석조건'!$B$14),1,0)</x:f>
        <x:v>0</x:v>
      </x:c>
      <x:c r="O42" s="14" t="n">
        <x:f>IF(AND(K42=1,E42&gt;=DATE('분석조건'!$B$6-1,1,1),E42&lt;='분석조건'!$B$15),1,0)</x:f>
        <x:v>0</x:v>
      </x:c>
    </x:row>
    <x:row r="43" ht="78" customHeight="1">
      <x:c r="A43" s="2" t="str">
        <x:v>11B-004-Ver01</x:v>
      </x:c>
      <x:c r="B43" s="2" t="str">
        <x:v>11B-004</x:v>
      </x:c>
      <x:c r="C43" s="17" t="str">
        <x:v>01</x:v>
      </x:c>
      <x:c r="D43" s="2" t="str">
        <x:v>new</x:v>
      </x:c>
      <x:c r="E43" s="7" t="n">
        <x:v>44558</x:v>
      </x:c>
      <x:c r="F43" s="13" t="str">
        <x:v>가스절연 전기기기의 시험에 따라 발생되는 육불화황(SF6) 가스의 회수 및 플라즈마 분해를 통한 온실가스 감축 사업의 방법론</x:v>
      </x:c>
      <x:c r="G43" s="13" t="str">
        <x:v>https://ors.gir.go.kr/home/orme010/historyRead.do?methdSeq=515&amp;menuId=12</x:v>
      </x:c>
      <x:c r="H43" s="14" t="n">
        <x:v>1</x:v>
      </x:c>
      <x:c r="I43" s="14" t="n">
        <x:f>IF(E43&lt;='분석조건'!$B$5,1,0)</x:f>
        <x:v>1</x:v>
      </x:c>
      <x:c r="J43" s="14" t="n">
        <x:f>INDEX('방법론'!$L$7:$L$39,MATCH(B43,'방법론'!$A$7:$A$39,0))</x:f>
        <x:v>1</x:v>
      </x:c>
      <x:c r="K43" s="14" t="n">
        <x:f>I43*J43</x:f>
        <x:v>1</x:v>
      </x:c>
      <x:c r="L43" s="14" t="n">
        <x:f>YEAR(E43)</x:f>
        <x:v>2021</x:v>
      </x:c>
      <x:c r="M43" s="14" t="n">
        <x:f>IF(AND(K43=1,'분석조건'!$B$5-E43&lt;'분석조건'!$B$11),1,0)</x:f>
        <x:v>0</x:v>
      </x:c>
      <x:c r="N43" s="14" t="n">
        <x:f>IF(AND(K43=1,E43&gt;=DATE('분석조건'!$B$6,1,1),E43&lt;='분석조건'!$B$14),1,0)</x:f>
        <x:v>0</x:v>
      </x:c>
      <x:c r="O43" s="14" t="n">
        <x:f>IF(AND(K43=1,E43&gt;=DATE('분석조건'!$B$6-1,1,1),E43&lt;='분석조건'!$B$15),1,0)</x:f>
        <x:v>0</x:v>
      </x:c>
    </x:row>
    <x:row r="44" ht="78" customHeight="1">
      <x:c r="A44" s="2" t="str">
        <x:v>11B-004-Ver02</x:v>
      </x:c>
      <x:c r="B44" s="2" t="str">
        <x:v>11B-004</x:v>
      </x:c>
      <x:c r="C44" s="17" t="str">
        <x:v>02</x:v>
      </x:c>
      <x:c r="D44" s="2" t="str">
        <x:v>revision</x:v>
      </x:c>
      <x:c r="E44" s="7" t="n">
        <x:v>46175</x:v>
      </x:c>
      <x:c r="F44" s="13" t="str">
        <x:v>가스절연 전기기기의 시험에 따라 발생되는 육불화황(SF6) 가스의 회수 및 플라즈마 분해를 통한 온실가스 감축 사업의 방법론</x:v>
      </x:c>
      <x:c r="G44" s="13" t="str">
        <x:v>https://ors.gir.go.kr/home/orme010/historyRead.do?methdSeq=515&amp;menuId=12</x:v>
      </x:c>
      <x:c r="H44" s="14" t="n">
        <x:v>2</x:v>
      </x:c>
      <x:c r="I44" s="14" t="n">
        <x:f>IF(E44&lt;='분석조건'!$B$5,1,0)</x:f>
        <x:v>1</x:v>
      </x:c>
      <x:c r="J44" s="14" t="n">
        <x:f>INDEX('방법론'!$L$7:$L$39,MATCH(B44,'방법론'!$A$7:$A$39,0))</x:f>
        <x:v>1</x:v>
      </x:c>
      <x:c r="K44" s="14" t="n">
        <x:f>I44*J44</x:f>
        <x:v>1</x:v>
      </x:c>
      <x:c r="L44" s="14" t="n">
        <x:f>YEAR(E44)</x:f>
        <x:v>2026</x:v>
      </x:c>
      <x:c r="M44" s="14" t="n">
        <x:f>IF(AND(K44=1,'분석조건'!$B$5-E44&lt;'분석조건'!$B$11),1,0)</x:f>
        <x:v>1</x:v>
      </x:c>
      <x:c r="N44" s="14" t="n">
        <x:f>IF(AND(K44=1,E44&gt;=DATE('분석조건'!$B$6,1,1),E44&lt;='분석조건'!$B$14),1,0)</x:f>
        <x:v>1</x:v>
      </x:c>
      <x:c r="O44" s="14" t="n">
        <x:f>IF(AND(K44=1,E44&gt;=DATE('분석조건'!$B$6-1,1,1),E44&lt;='분석조건'!$B$15),1,0)</x:f>
        <x:v>0</x:v>
      </x:c>
    </x:row>
    <x:row r="45" ht="78" customHeight="1">
      <x:c r="A45" s="2" t="str">
        <x:v>11B-005-Ver01</x:v>
      </x:c>
      <x:c r="B45" s="2" t="str">
        <x:v>11B-005</x:v>
      </x:c>
      <x:c r="C45" s="17" t="str">
        <x:v>01</x:v>
      </x:c>
      <x:c r="D45" s="2" t="str">
        <x:v>new</x:v>
      </x:c>
      <x:c r="E45" s="7" t="n">
        <x:v>44992</x:v>
      </x:c>
      <x:c r="F45" s="13" t="str">
        <x:v>전력계통내 폐기된 전기설비의 충진된 SF6를 회수 및 정제하는 사업의 방법론</x:v>
      </x:c>
      <x:c r="G45" s="13" t="str">
        <x:v>https://ors.gir.go.kr/home/orme010/historyRead.do?methdSeq=383&amp;menuId=12</x:v>
      </x:c>
      <x:c r="H45" s="14" t="n">
        <x:v>1</x:v>
      </x:c>
      <x:c r="I45" s="14" t="n">
        <x:f>IF(E45&lt;='분석조건'!$B$5,1,0)</x:f>
        <x:v>1</x:v>
      </x:c>
      <x:c r="J45" s="14" t="n">
        <x:f>INDEX('방법론'!$L$7:$L$39,MATCH(B45,'방법론'!$A$7:$A$39,0))</x:f>
        <x:v>1</x:v>
      </x:c>
      <x:c r="K45" s="14" t="n">
        <x:f>I45*J45</x:f>
        <x:v>1</x:v>
      </x:c>
      <x:c r="L45" s="14" t="n">
        <x:f>YEAR(E45)</x:f>
        <x:v>2023</x:v>
      </x:c>
      <x:c r="M45" s="14" t="n">
        <x:f>IF(AND(K45=1,'분석조건'!$B$5-E45&lt;'분석조건'!$B$11),1,0)</x:f>
        <x:v>0</x:v>
      </x:c>
      <x:c r="N45" s="14" t="n">
        <x:f>IF(AND(K45=1,E45&gt;=DATE('분석조건'!$B$6,1,1),E45&lt;='분석조건'!$B$14),1,0)</x:f>
        <x:v>0</x:v>
      </x:c>
      <x:c r="O45" s="14" t="n">
        <x:f>IF(AND(K45=1,E45&gt;=DATE('분석조건'!$B$6-1,1,1),E45&lt;='분석조건'!$B$15),1,0)</x:f>
        <x:v>0</x:v>
      </x:c>
    </x:row>
    <x:row r="46" ht="78" customHeight="1">
      <x:c r="A46" s="2" t="str">
        <x:v>11B-006-Ver01</x:v>
      </x:c>
      <x:c r="B46" s="2" t="str">
        <x:v>11B-006</x:v>
      </x:c>
      <x:c r="C46" s="17" t="str">
        <x:v>01</x:v>
      </x:c>
      <x:c r="D46" s="2" t="str">
        <x:v>new</x:v>
      </x:c>
      <x:c r="E46" s="7" t="n">
        <x:v>44992</x:v>
      </x:c>
      <x:c r="F46" s="13" t="str">
        <x:v>반도체 제조공정의 F-Gas 감축설비 도입을 통한 온실가스 감축 사업의 방법론</x:v>
      </x:c>
      <x:c r="G46" s="13" t="str">
        <x:v>https://ors.gir.go.kr/home/orme010/historyRead.do?methdSeq=404&amp;menuId=12</x:v>
      </x:c>
      <x:c r="H46" s="14" t="n">
        <x:v>1</x:v>
      </x:c>
      <x:c r="I46" s="14" t="n">
        <x:f>IF(E46&lt;='분석조건'!$B$5,1,0)</x:f>
        <x:v>1</x:v>
      </x:c>
      <x:c r="J46" s="14" t="n">
        <x:f>INDEX('방법론'!$L$7:$L$39,MATCH(B46,'방법론'!$A$7:$A$39,0))</x:f>
        <x:v>1</x:v>
      </x:c>
      <x:c r="K46" s="14" t="n">
        <x:f>I46*J46</x:f>
        <x:v>1</x:v>
      </x:c>
      <x:c r="L46" s="14" t="n">
        <x:f>YEAR(E46)</x:f>
        <x:v>2023</x:v>
      </x:c>
      <x:c r="M46" s="14" t="n">
        <x:f>IF(AND(K46=1,'분석조건'!$B$5-E46&lt;'분석조건'!$B$11),1,0)</x:f>
        <x:v>0</x:v>
      </x:c>
      <x:c r="N46" s="14" t="n">
        <x:f>IF(AND(K46=1,E46&gt;=DATE('분석조건'!$B$6,1,1),E46&lt;='분석조건'!$B$14),1,0)</x:f>
        <x:v>0</x:v>
      </x:c>
      <x:c r="O46" s="14" t="n">
        <x:f>IF(AND(K46=1,E46&gt;=DATE('분석조건'!$B$6-1,1,1),E46&lt;='분석조건'!$B$15),1,0)</x:f>
        <x:v>0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296d10ecd2f42b3"/>
  </x:tableParts>
</x:worksheet>
</file>