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b690a9ba3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사용안내" sheetId="1" r:id="Rf6704c7baccc4d85"/>
    <x:sheet xmlns:r="http://schemas.openxmlformats.org/officeDocument/2006/relationships" name="01_설정" sheetId="2" r:id="Rcdc4fe107e664c1b"/>
    <x:sheet xmlns:r="http://schemas.openxmlformats.org/officeDocument/2006/relationships" name="02_대시보드" sheetId="3" r:id="Rdeaa9a01264544f9"/>
    <x:sheet xmlns:r="http://schemas.openxmlformats.org/officeDocument/2006/relationships" name="03_연도통계" sheetId="4" r:id="R144aa8ef692040b1"/>
    <x:sheet xmlns:r="http://schemas.openxmlformats.org/officeDocument/2006/relationships" name="04_검토통계" sheetId="5" r:id="Rf1e02008b1bb4b4d"/>
    <x:sheet xmlns:r="http://schemas.openxmlformats.org/officeDocument/2006/relationships" name="10_방법론" sheetId="6" r:id="R2f80a62cbad64cd2"/>
    <x:sheet xmlns:r="http://schemas.openxmlformats.org/officeDocument/2006/relationships" name="11_버전" sheetId="7" r:id="Rdb614d675325469e"/>
    <x:sheet xmlns:r="http://schemas.openxmlformats.org/officeDocument/2006/relationships" name="12_신청" sheetId="8" r:id="R4bf4499692f74594"/>
    <x:sheet xmlns:r="http://schemas.openxmlformats.org/officeDocument/2006/relationships" name="13_검토이력" sheetId="9" r:id="R52e0cb0856124b3c"/>
    <x:sheet xmlns:r="http://schemas.openxmlformats.org/officeDocument/2006/relationships" name="14_적용상태" sheetId="10" r:id="R00d1c9f9a0b245bc"/>
    <x:sheet xmlns:r="http://schemas.openxmlformats.org/officeDocument/2006/relationships" name="15_출처" sheetId="11" r:id="Rcb758a49a28e4034"/>
    <x:sheet xmlns:r="http://schemas.openxmlformats.org/officeDocument/2006/relationships" name="16_품질점검" sheetId="12" r:id="R75a1d3f4b5154531"/>
    <x:sheet xmlns:r="http://schemas.openxmlformats.org/officeDocument/2006/relationships" name="17_코드북" sheetId="13" r:id="R00ffb4a8dbcd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;[Red]-0.0;0"/>
  </x:numFmts>
  <x:fonts count="12">
    <x:font>
      <x:sz val="11"/>
      <x:name val="Carlito"/>
    </x:font>
    <x:font>
      <x:sz val="10"/>
      <x:color rgb="FF17223B"/>
      <x:name val="Arial"/>
    </x:font>
    <x:font>
      <x:b/>
      <x:sz val="16"/>
      <x:color rgb="FFFFFFFF"/>
      <x:name val="Arial"/>
    </x:font>
    <x:font>
      <x:sz val="10"/>
      <x:color rgb="FF63768D"/>
      <x:name val="Arial"/>
    </x:font>
    <x:font>
      <x:b/>
      <x:sz val="10"/>
      <x:color rgb="FFFFFFFF"/>
      <x:name val="Arial"/>
    </x:font>
    <x:font>
      <x:sz val="10"/>
      <x:color rgb="FF1F64A7"/>
      <x:name val="Arial"/>
    </x:font>
    <x:font>
      <x:b/>
      <x:sz val="10"/>
      <x:color rgb="FF63768D"/>
      <x:name val="Arial"/>
    </x:font>
    <x:font>
      <x:b/>
      <x:sz val="19"/>
      <x:color rgb="FFFFFFFF"/>
      <x:name val="Arial"/>
    </x:font>
    <x:font>
      <x:sz val="10"/>
      <x:color rgb="FF75530A"/>
      <x:name val="Arial"/>
    </x:font>
    <x:font>
      <x:b/>
      <x:sz val="27"/>
      <x:color rgb="FF1A2B5F"/>
      <x:name val="Arial"/>
    </x:font>
    <x:font>
      <x:b/>
      <x:sz val="12"/>
      <x:color rgb="FF17223B"/>
      <x:name val="Arial"/>
    </x:font>
    <x:font>
      <x:sz val="10"/>
      <x:color rgb="FF17223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A2B5F"/>
      </x:patternFill>
    </x:fill>
    <x:fill>
      <x:patternFill patternType="solid">
        <x:fgColor rgb="FFF1F5FA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0" fontId="1" fillId="3" borderId="0" xfId="0" applyNumberFormat="1" applyFont="1" applyFill="1" applyBorder="1"/>
    <x:xf numFmtId="200" fontId="0" fillId="3" borderId="0" xfId="0" applyNumberFormat="1" applyFont="1" applyFill="1" applyBorder="1"/>
    <x:xf numFmtId="200" fontId="1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</x:cellXfs>
  <x:cellStyles count="1">
    <x:cellStyle name="Normal" xfId="0"/>
  </x:cellStyles>
  <x:dxfs count="2">
    <x:dxf>
      <x:font>
        <x:color rgb="FF84590C"/>
      </x:font>
      <x:fill>
        <x:patternFill patternType="solid">
          <x:bgColor rgb="FFFFF3D6"/>
        </x:patternFill>
      </x:fill>
    </x:dxf>
    <x:dxf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04fb6b4fc46a3" /><Relationship Type="http://schemas.openxmlformats.org/officeDocument/2006/relationships/theme" Target="/xl/theme/theme1.xml" Id="R968e05c618774847" /><Relationship Type="http://schemas.microsoft.com/office/2022/11/relationships/FeaturePropertyBag" Target="/xl/featurePropertyBag/featurePropertyBag.xml" Id="Rca258e81249d4de6" /><Relationship Type="http://schemas.openxmlformats.org/officeDocument/2006/relationships/sharedStrings" Target="/xl/sharedStrings.xml" Id="Rbe553a41729c4124" /><Relationship Type="http://schemas.openxmlformats.org/officeDocument/2006/relationships/worksheet" Target="/xl/worksheets/sheet1.xml" Id="Rf6704c7baccc4d85" /><Relationship Type="http://schemas.openxmlformats.org/officeDocument/2006/relationships/worksheet" Target="/xl/worksheets/sheet2.xml" Id="Rcdc4fe107e664c1b" /><Relationship Type="http://schemas.openxmlformats.org/officeDocument/2006/relationships/worksheet" Target="/xl/worksheets/sheet3.xml" Id="Rdeaa9a01264544f9" /><Relationship Type="http://schemas.openxmlformats.org/officeDocument/2006/relationships/worksheet" Target="/xl/worksheets/sheet4.xml" Id="R144aa8ef692040b1" /><Relationship Type="http://schemas.openxmlformats.org/officeDocument/2006/relationships/worksheet" Target="/xl/worksheets/sheet5.xml" Id="Rf1e02008b1bb4b4d" /><Relationship Type="http://schemas.openxmlformats.org/officeDocument/2006/relationships/worksheet" Target="/xl/worksheets/sheet6.xml" Id="R2f80a62cbad64cd2" /><Relationship Type="http://schemas.openxmlformats.org/officeDocument/2006/relationships/worksheet" Target="/xl/worksheets/sheet7.xml" Id="Rdb614d675325469e" /><Relationship Type="http://schemas.openxmlformats.org/officeDocument/2006/relationships/worksheet" Target="/xl/worksheets/sheet8.xml" Id="R4bf4499692f74594" /><Relationship Type="http://schemas.openxmlformats.org/officeDocument/2006/relationships/worksheet" Target="/xl/worksheets/sheet9.xml" Id="R52e0cb0856124b3c" /><Relationship Type="http://schemas.openxmlformats.org/officeDocument/2006/relationships/worksheet" Target="/xl/worksheets/sheet10.xml" Id="R00d1c9f9a0b245bc" /><Relationship Type="http://schemas.openxmlformats.org/officeDocument/2006/relationships/worksheet" Target="/xl/worksheets/sheet11.xml" Id="Rcb758a49a28e4034" /><Relationship Type="http://schemas.openxmlformats.org/officeDocument/2006/relationships/worksheet" Target="/xl/worksheets/sheet12.xml" Id="R75a1d3f4b5154531" /><Relationship Type="http://schemas.openxmlformats.org/officeDocument/2006/relationships/worksheet" Target="/xl/worksheets/sheet13.xml" Id="R00ffb4a8dbcd4d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7e932bf56d4cf2" /><Relationship Type="http://schemas.openxmlformats.org/officeDocument/2006/relationships/chart" Target="/xl/drawings/charts/chart2.xml" Id="R2bebf40c58834a7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신규 등록</c:v>
          </c:tx>
          <c:marker>
            <c:symbol val="none"/>
          </c:marker>
          <c:cat>
            <c:strRef>
              <c:f>'03_연도통계'!$A$6:$A$17</c:f>
              <c:strCache>
                <c:ptCount val="0"/>
              </c:strCache>
            </c:strRef>
          </c:cat>
          <c:val>
            <c:numRef>
              <c:f>'03_연도통계'!$B$6:$B$17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등록연도 확인분 누적</c:v>
          </c:tx>
          <c:marker>
            <c:symbol val="none"/>
          </c:marker>
          <c:cat>
            <c:strRef>
              <c:f>'03_연도통계'!$A$6:$A$17</c:f>
              <c:strCache>
                <c:ptCount val="0"/>
              </c:strCache>
            </c:strRef>
          </c:cat>
          <c:val>
            <c:numRef>
              <c:f>'03_연도통계'!$C$6:$C$17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'04_검토통계'!$B$6:$B$15</c:f>
              <c:strCache>
                <c:ptCount val="0"/>
              </c:strCache>
            </c:strRef>
          </c:cat>
          <c:val>
            <c:numRef>
              <c:f>'04_검토통계'!$C$6:$C$15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7e932bf56d4cf2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ebf40c58834a7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methodologies" displayName="T_methodologies" ref="A5:L105" headerRowCount="1" totalsRowCount="0" totalsRowShown="0">
  <x:tableColumns count="12">
    <x:tableColumn id="1" name="id"/>
    <x:tableColumn id="2" name="code"/>
    <x:tableColumn id="3" name="name"/>
    <x:tableColumn id="4" name="scope"/>
    <x:tableColumn id="5" name="scope_basis"/>
    <x:tableColumn id="6" name="official_sector"/>
    <x:tableColumn id="7" name="technology"/>
    <x:tableColumn id="8" name="first_registered_on"/>
    <x:tableColumn id="9" name="registration_confirmed_on"/>
    <x:tableColumn id="10" name="recorded_on"/>
    <x:tableColumn id="11" name="source_id"/>
    <x:tableColumn id="12" name="public_allow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versions" displayName="T_versions" ref="A5:H205" headerRowCount="1" totalsRowCount="0" totalsRowShown="0">
  <x:tableColumns count="8">
    <x:tableColumn id="1" name="id"/>
    <x:tableColumn id="2" name="methodology_id"/>
    <x:tableColumn id="3" name="version"/>
    <x:tableColumn id="4" name="change_type"/>
    <x:tableColumn id="5" name="registered_on"/>
    <x:tableColumn id="6" name="effective_from"/>
    <x:tableColumn id="7" name="recorded_on"/>
    <x:tableColumn id="8" name="source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pplications" displayName="T_applications" ref="A5:J105" headerRowCount="1" totalsRowCount="0" totalsRowShown="0">
  <x:tableColumns count="10">
    <x:tableColumn id="1" name="id"/>
    <x:tableColumn id="2" name="methodology_id"/>
    <x:tableColumn id="3" name="title"/>
    <x:tableColumn id="4" name="type"/>
    <x:tableColumn id="5" name="scope"/>
    <x:tableColumn id="6" name="submitted_on"/>
    <x:tableColumn id="7" name="recorded_on"/>
    <x:tableColumn id="8" name="owner"/>
    <x:tableColumn id="9" name="source_id"/>
    <x:tableColumn id="10" name="public_allow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eview_events" displayName="T_review_events" ref="A5:M305" headerRowCount="1" totalsRowCount="0" totalsRowShown="0">
  <x:tableColumns count="13">
    <x:tableColumn id="1" name="id"/>
    <x:tableColumn id="2" name="application_id"/>
    <x:tableColumn id="3" name="sequence"/>
    <x:tableColumn id="4" name="occurred_on"/>
    <x:tableColumn id="5" name="recorded_on"/>
    <x:tableColumn id="6" name="stage"/>
    <x:tableColumn id="7" name="action"/>
    <x:tableColumn id="8" name="waiting"/>
    <x:tableColumn id="9" name="official_status_text"/>
    <x:tableColumn id="10" name="source_id"/>
    <x:tableColumn id="11" name="note"/>
    <x:tableColumn id="12" name="next_action"/>
    <x:tableColumn id="13" name="due_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tatus_events" displayName="T_status_events" ref="A5:G205" headerRowCount="1" totalsRowCount="0" totalsRowShown="0">
  <x:tableColumns count="7">
    <x:tableColumn id="1" name="id"/>
    <x:tableColumn id="2" name="methodology_id"/>
    <x:tableColumn id="3" name="sequence"/>
    <x:tableColumn id="4" name="occurred_on"/>
    <x:tableColumn id="5" name="recorded_on"/>
    <x:tableColumn id="6" name="status"/>
    <x:tableColumn id="7" name="source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ources" displayName="T_sources" ref="A5:G105" headerRowCount="1" totalsRowCount="0" totalsRowShown="0">
  <x:tableColumns count="7">
    <x:tableColumn id="1" name="id"/>
    <x:tableColumn id="2" name="label"/>
    <x:tableColumn id="3" name="url"/>
    <x:tableColumn id="4" name="kind"/>
    <x:tableColumn id="5" name="access"/>
    <x:tableColumn id="6" name="retrieved_on"/>
    <x:tableColumn id="7" name="file_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345c5f9669e4c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bc84910ef62244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2730f395802041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e4fbede1f6a64f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a52606bccbe24e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78effa9c411045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6.xml" Id="Rf6b8db76c9cb4142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6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7" t="str">
        <x:v>시작 안내 | K-ETS 방법론 엑셀 대시보드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21" customHeight="1">
      <x:c r="A2" s="15" t="str">
        <x:v>이 파일의 모든 행은 합성 테스트 데이터. 실제 누적 등록·검토 현황을 수집한 결과가 아님. 실자료 입력 전 예시 원장 전체를 제거하고 출처·범위부터 설정.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0" t="str">
        <x:v>항목</x:v>
      </x:c>
      <x:c r="B5" s="20" t="str">
        <x:v>경로 / 시트</x:v>
      </x:c>
      <x:c r="C5" s="20" t="str">
        <x:v>사용 방법</x:v>
      </x:c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24" t="str">
        <x:v>화면 확인</x:v>
      </x:c>
      <x:c r="B6" s="24" t="str">
        <x:v>02_대시보드</x:v>
      </x:c>
      <x:c r="C6" s="24" t="str">
        <x:v>기본 합성 예시: 산업 등록 9 / 적용가능 7 / 검토중 5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38" customHeight="1">
      <x:c r="A7" s="24" t="str">
        <x:v>필터 설정</x:v>
      </x:c>
      <x:c r="B7" s="24" t="str">
        <x:v>01_설정!B6:B12</x:v>
      </x:c>
      <x:c r="C7" s="24" t="str">
        <x:v>발생·지식 기준일, 부문 범위, 집계연도, 내부 경과일, 자료확보 상태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38" customHeight="1">
      <x:c r="A8" s="24" t="str">
        <x:v>방법론 입력</x:v>
      </x:c>
      <x:c r="B8" s="24" t="str">
        <x:v>10_방법론</x:v>
      </x:c>
      <x:c r="C8" s="24" t="str">
        <x:v>고유 방법론 단위. 첫 등록일과 등록사실 확인일 구분</x:v>
      </x:c>
      <x:c r="D8" s="2"/>
      <x:c r="E8" s="2"/>
      <x:c r="F8" s="2"/>
      <x:c r="G8" s="2"/>
      <x:c r="H8" s="2"/>
      <x:c r="I8" s="2"/>
      <x:c r="J8" s="2"/>
      <x:c r="K8" s="2"/>
      <x:c r="L8" s="2"/>
    </x:row>
    <x:row r="9" ht="38" customHeight="1">
      <x:c r="A9" s="24" t="str">
        <x:v>개정 이력</x:v>
      </x:c>
      <x:c r="B9" s="24" t="str">
        <x:v>11_버전</x:v>
      </x:c>
      <x:c r="C9" s="24" t="str">
        <x:v>신규/개정 및 등록일/유효시작일 별도 기록</x:v>
      </x:c>
      <x:c r="D9" s="2"/>
      <x:c r="E9" s="2"/>
      <x:c r="F9" s="2"/>
      <x:c r="G9" s="2"/>
      <x:c r="H9" s="2"/>
      <x:c r="I9" s="2"/>
      <x:c r="J9" s="2"/>
      <x:c r="K9" s="2"/>
      <x:c r="L9" s="2"/>
    </x:row>
    <x:row r="10" ht="38" customHeight="1">
      <x:c r="A10" s="24" t="str">
        <x:v>검토 입력</x:v>
      </x:c>
      <x:c r="B10" s="24" t="str">
        <x:v>12_신청 + 13_검토이력</x:v>
      </x:c>
      <x:c r="C10" s="24" t="str">
        <x:v>신청과 사건 이력을 분리. 최초 이력은 transition</x:v>
      </x:c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38" customHeight="1">
      <x:c r="A11" s="24" t="str">
        <x:v>적용 상태</x:v>
      </x:c>
      <x:c r="B11" s="24" t="str">
        <x:v>14_적용상태</x:v>
      </x:c>
      <x:c r="C11" s="24" t="str">
        <x:v>상태 이력 active/inactive/unknown. 확인되지 않으면 unknown</x:v>
      </x:c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38" customHeight="1">
      <x:c r="A12" s="24" t="str">
        <x:v>출처</x:v>
      </x:c>
      <x:c r="B12" s="24" t="str">
        <x:v>15_출처</x:v>
      </x:c>
      <x:c r="C12" s="24" t="str">
        <x:v>실자료는 원문 URL 또는 파일 해시·조회권한 기록</x:v>
      </x:c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38" customHeight="1">
      <x:c r="A13" s="24" t="str">
        <x:v>오류 확인</x:v>
      </x:c>
      <x:c r="B13" s="24" t="str">
        <x:v>16_품질점검</x:v>
      </x:c>
      <x:c r="C13" s="24" t="str">
        <x:v>중복·미확인 표시 후 Python 검증기를 함께 실행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38" customHeight="1">
      <x:c r="A14" s="24" t="str">
        <x:v>웹 반영</x:v>
      </x:c>
      <x:c r="B14" s="24" t="str">
        <x:v>scripts/manage.py from-xlsx</x:v>
      </x:c>
      <x:c r="C14" s="24" t="str">
        <x:v>입력 열만 읽어 JSON 저장. 수식 계산열은 읽지 않음</x:v>
      </x:c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38" customHeight="1">
      <x:c r="A15" s="24" t="str">
        <x:v>입력 용량</x:v>
      </x:c>
      <x:c r="B15" s="24" t="str">
        <x:v>방법론100 / 버전200 / 신청100</x:v>
      </x:c>
      <x:c r="C15" s="24" t="str">
        <x:v>검토이력300 / 상태이력200 / 출처100. 초과 전 범위 확장</x:v>
      </x:c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38" customHeight="1">
      <x:c r="A16" s="24" t="str">
        <x:v>호환 권고</x:v>
      </x:c>
      <x:c r="B16" s="24" t="str">
        <x:v>Microsoft Excel 365 / 2021 이상</x:v>
      </x:c>
      <x:c r="C16" s="24" t="str">
        <x:v>MAXIFS 등 함수 사용. VBA·외부 연결·매크로 없음</x:v>
      </x:c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8" customHeight="1">
      <x:c r="A17" s="24" t="str">
        <x:v>원장 입력 원칙</x:v>
      </x:c>
      <x:c r="B17" s="24" t="str">
        <x:v>5행 헤더·파란 글씨 열</x:v>
      </x:c>
      <x:c r="C17" s="24" t="str">
        <x:v>헤더 이름 유지. 오른쪽 회색 계산열은 수정 금지</x:v>
      </x:c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38" customHeight="1">
      <x:c r="A18" s="24" t="str">
        <x:v>자료 누락</x:v>
      </x:c>
      <x:c r="B18" s="24" t="str">
        <x:v>coverage = missing</x:v>
      </x:c>
      <x:c r="C18" s="24" t="str">
        <x:v>0건과 자료 미확보를 구분</x:v>
      </x:c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38" customHeight="1">
      <x:c r="A19" s="24" t="str">
        <x:v>공식 목록</x:v>
      </x:c>
      <x:c r="B19" s="24" t="str">
        <x:v>https://ors.gir.go.kr/home/orme010/activeList.do?menuId=10</x:v>
      </x:c>
      <x:c r="C19" s="24" t="str">
        <x:v>참고 페이지. 예시 데이터의 출처가 아님</x:v>
      </x:c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38" customHeight="1">
      <x:c r="A20" s="24" t="str">
        <x:v>공식 절차</x:v>
      </x:c>
      <x:c r="B20" s="24" t="str">
        <x:v>https://offset.energy.or.kr/methodology/agree.do</x:v>
      </x:c>
      <x:c r="C20" s="24" t="str">
        <x:v>절차 이해용. 법령 최신성·공식 처리기한 별도 확인</x:v>
      </x:c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38" customHeight="1">
      <x:c r="A21" s="24" t="str">
        <x:v>확인일</x:v>
      </x:c>
      <x:c r="B21" s="24" t="str">
        <x:v>2026-10-13</x:v>
      </x:c>
      <x:c r="C21" s="24" t="str">
        <x:v>참고 페이지 점검일</x:v>
      </x:c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8" customHeight="1">
      <x:c r="A22" s="24" t="str">
        <x:v>이력 재현 한계</x:v>
      </x:c>
      <x:c r="B22" s="24" t="str">
        <x:v>분야·명칭은 현재 원장 기준</x:v>
      </x:c>
      <x:c r="C22" s="24" t="str">
        <x:v>과거 분류 변경까지 재현하려면 당시 원본 스냅샷 필요</x:v>
      </x:c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8" customHeight="1">
      <x:c r="A23" s="24" t="str">
        <x:v>빈 템플릿</x:v>
      </x:c>
      <x:c r="B23" s="24" t="str">
        <x:v>data/templates/empty.dataset.json</x:v>
      </x:c>
      <x:c r="C23" s="24" t="str">
        <x:v>실운영 초기 원장. 예시 데이터를 production으로 이름만 변경 금지</x:v>
      </x:c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</x:sheetData>
  <x:mergeCells>
    <x:mergeCell ref="A1:L1"/>
    <x:mergeCell ref="A2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28" hidden="0" customWidth="1"/>
    <x:col min="3" max="3" width="6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7" t="str">
        <x:v>설정 | 기준일·자료범위·집계 기준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1" customHeight="1">
      <x:c r="A2" s="15" t="str">
        <x:v>파란 글씨 셀을 수정. mode=demo를 production으로 바꾸는 것만으로 실자료 전환 불가. 원장 전체 교체·검증 필요.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1" customHeight="1">
      <x:c r="A5" s="20" t="str">
        <x:v>key</x:v>
      </x:c>
      <x:c r="B5" s="20" t="str">
        <x:v>value</x:v>
      </x:c>
      <x:c r="C5" s="20" t="str">
        <x:v>설명</x:v>
      </x:c>
      <x:c r="D5" s="2"/>
      <x:c r="E5" s="2"/>
      <x:c r="F5" s="2"/>
      <x:c r="G5" s="2"/>
      <x:c r="H5" s="2"/>
      <x:c r="I5" s="2"/>
      <x:c r="J5" s="2"/>
    </x:row>
    <x:row r="6" ht="21" customHeight="1">
      <x:c r="A6" s="2" t="str">
        <x:v>as_of</x:v>
      </x:c>
      <x:c r="B6" s="28" t="n">
        <x:v>46308</x:v>
      </x:c>
      <x:c r="C6" s="24" t="str">
        <x:v>발생 기준일 | 이 날짜까지 발생한 사실을 집계</x:v>
      </x:c>
      <x:c r="D6" s="2"/>
      <x:c r="E6" s="2"/>
      <x:c r="F6" s="2"/>
      <x:c r="G6" s="2"/>
      <x:c r="H6" s="2"/>
      <x:c r="I6" s="2"/>
      <x:c r="J6" s="2"/>
    </x:row>
    <x:row r="7" ht="21" customHeight="1">
      <x:c r="A7" s="2" t="str">
        <x:v>knowledge_as_of</x:v>
      </x:c>
      <x:c r="B7" s="28" t="n">
        <x:v>46308</x:v>
      </x:c>
      <x:c r="C7" s="24" t="str">
        <x:v>지식 기준일 | 이 날짜까지 입력·확보한 이력만 사용</x:v>
      </x:c>
      <x:c r="D7" s="2"/>
      <x:c r="E7" s="2"/>
      <x:c r="F7" s="2"/>
      <x:c r="G7" s="2"/>
      <x:c r="H7" s="2"/>
      <x:c r="I7" s="2"/>
      <x:c r="J7" s="2"/>
    </x:row>
    <x:row r="8" ht="21" customHeight="1">
      <x:c r="A8" s="2" t="str">
        <x:v>scope</x:v>
      </x:c>
      <x:c r="B8" s="22" t="str">
        <x:v>industry</x:v>
      </x:c>
      <x:c r="C8" s="24" t="str">
        <x:v>industry / industry_transition / transition / all / other / unclassified</x:v>
      </x:c>
      <x:c r="D8" s="2"/>
      <x:c r="E8" s="2"/>
      <x:c r="F8" s="2"/>
      <x:c r="G8" s="2"/>
      <x:c r="H8" s="2"/>
      <x:c r="I8" s="2"/>
      <x:c r="J8" s="2"/>
    </x:row>
    <x:row r="9" ht="21" customHeight="1">
      <x:c r="A9" s="2" t="str">
        <x:v>selected_year</x:v>
      </x:c>
      <x:c r="B9" s="22" t="n">
        <x:v>2026</x:v>
      </x:c>
      <x:c r="C9" s="24" t="str">
        <x:v>선택연도 신규·개정 건수</x:v>
      </x:c>
      <x:c r="D9" s="2"/>
      <x:c r="E9" s="2"/>
      <x:c r="F9" s="2"/>
      <x:c r="G9" s="2"/>
      <x:c r="H9" s="2"/>
      <x:c r="I9" s="2"/>
      <x:c r="J9" s="2"/>
    </x:row>
    <x:row r="10" ht="21" customHeight="1">
      <x:c r="A10" s="2" t="str">
        <x:v>internal_threshold_days</x:v>
      </x:c>
      <x:c r="B10" s="22" t="n">
        <x:v>45</x:v>
      </x:c>
      <x:c r="C10" s="24" t="str">
        <x:v>내부 관리기준(달력일). 법정 처리기한 아님</x:v>
      </x:c>
      <x:c r="D10" s="2"/>
      <x:c r="E10" s="2"/>
      <x:c r="F10" s="2"/>
      <x:c r="G10" s="2"/>
      <x:c r="H10" s="2"/>
      <x:c r="I10" s="2"/>
      <x:c r="J10" s="2"/>
    </x:row>
    <x:row r="11" ht="21" customHeight="1">
      <x:c r="A11" s="2" t="str">
        <x:v>coverage_registrations</x:v>
      </x:c>
      <x:c r="B11" s="22" t="str">
        <x:v>demo</x:v>
      </x:c>
      <x:c r="C11" s="24" t="str">
        <x:v>demo / complete / partial / missing</x:v>
      </x:c>
      <x:c r="D11" s="2"/>
      <x:c r="E11" s="2"/>
      <x:c r="F11" s="2"/>
      <x:c r="G11" s="2"/>
      <x:c r="H11" s="2"/>
      <x:c r="I11" s="2"/>
      <x:c r="J11" s="2"/>
    </x:row>
    <x:row r="12" ht="21" customHeight="1">
      <x:c r="A12" s="2" t="str">
        <x:v>coverage_reviews</x:v>
      </x:c>
      <x:c r="B12" s="22" t="str">
        <x:v>demo</x:v>
      </x:c>
      <x:c r="C12" s="24" t="str">
        <x:v>검토자료 미확보는 missing; 0건 아님</x:v>
      </x:c>
      <x:c r="D12" s="2"/>
      <x:c r="E12" s="2"/>
      <x:c r="F12" s="2"/>
      <x:c r="G12" s="2"/>
      <x:c r="H12" s="2"/>
      <x:c r="I12" s="2"/>
      <x:c r="J12" s="2"/>
    </x:row>
    <x:row r="13" ht="21" customHeight="1">
      <x:c r="A13" s="2" t="str">
        <x:v>mode</x:v>
      </x:c>
      <x:c r="B13" s="22" t="str">
        <x:v>demo</x:v>
      </x:c>
      <x:c r="C13" s="24" t="str">
        <x:v>demo / production. 전량 합성 예시</x:v>
      </x:c>
      <x:c r="D13" s="2"/>
      <x:c r="E13" s="2"/>
      <x:c r="F13" s="2"/>
      <x:c r="G13" s="2"/>
      <x:c r="H13" s="2"/>
      <x:c r="I13" s="2"/>
      <x:c r="J13" s="2"/>
    </x:row>
    <x:row r="14" ht="21" customHeight="1">
      <x:c r="A14" s="2" t="str">
        <x:v>dataset_id</x:v>
      </x:c>
      <x:c r="B14" s="22" t="str">
        <x:v>DEMO-20261013</x:v>
      </x:c>
      <x:c r="C14" s="24" t="str">
        <x:v>자료 묶음의 고유 ID</x:v>
      </x:c>
      <x:c r="D14" s="2"/>
      <x:c r="E14" s="2"/>
      <x:c r="F14" s="2"/>
      <x:c r="G14" s="2"/>
      <x:c r="H14" s="2"/>
      <x:c r="I14" s="2"/>
      <x:c r="J14" s="2"/>
    </x:row>
    <x:row r="15" ht="21" customHeight="1">
      <x:c r="A15" s="2" t="str">
        <x:v>schema_version</x:v>
      </x:c>
      <x:c r="B15" s="22" t="str">
        <x:v>1.0.0</x:v>
      </x:c>
      <x:c r="C15" s="24" t="str">
        <x:v>JSON 계약 버전</x:v>
      </x:c>
      <x:c r="D15" s="2"/>
      <x:c r="E15" s="2"/>
      <x:c r="F15" s="2"/>
      <x:c r="G15" s="2"/>
      <x:c r="H15" s="2"/>
      <x:c r="I15" s="2"/>
      <x:c r="J15" s="2"/>
    </x:row>
    <x:row r="16" ht="58" customHeight="1">
      <x:c r="A16" s="2" t="str">
        <x:v>scope_note</x:v>
      </x:c>
      <x:c r="B16" s="26" t="str">
        <x:v>전량 합성 예시. 실제 방법론·기관·신청현황·법정기한을 뜻하지 않음.</x:v>
      </x:c>
      <x:c r="C16" s="24" t="str">
        <x:v>관할·자료 확보 범위·완전성 설명</x:v>
      </x:c>
      <x:c r="D16" s="2"/>
      <x:c r="E16" s="2"/>
      <x:c r="F16" s="2"/>
      <x:c r="G16" s="2"/>
      <x:c r="H16" s="2"/>
      <x:c r="I16" s="2"/>
      <x:c r="J16" s="2"/>
    </x:row>
    <x:row r="17" ht="21" customHeight="1">
      <x:c r="A17" s="2" t="str">
        <x:v>timezone</x:v>
      </x:c>
      <x:c r="B17" s="22" t="str">
        <x:v>Asia/Seoul</x:v>
      </x:c>
      <x:c r="C17" s="24" t="str">
        <x:v>발생일·기록일 모두 한국시간 일 단위</x:v>
      </x:c>
      <x:c r="D17" s="2"/>
      <x:c r="E17" s="2"/>
      <x:c r="F17" s="2"/>
      <x:c r="G17" s="2"/>
      <x:c r="H17" s="2"/>
      <x:c r="I17" s="2"/>
      <x:c r="J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</x:sheetData>
  <x:mergeCells>
    <x:mergeCell ref="A1:J1"/>
    <x:mergeCell ref="A2:J3"/>
  </x:mergeCells>
  <x:dataValidations count="3">
    <x:dataValidation type="list" sqref="B8">
      <x:formula1>"industry,industry_transition,transition,all,other,unclassified"</x:formula1>
    </x:dataValidation>
    <x:dataValidation type="list" sqref="B11:B12">
      <x:formula1>"demo,complete,partial,missing"</x:formula1>
    </x:dataValidation>
    <x:dataValidation type="list" sqref="B13">
      <x:formula1>"demo,production"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</x:cols>
  <x:sheetData>
    <x:row r="1" ht="22" customHeight="1">
      <x:c r="A1" s="50" t="str">
        <x:v>K-ETS  |  산업부문 외부사업 방법론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</x:row>
    <x:row r="2" ht="22" customHeight="1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</x:row>
    <x:row r="3" ht="22" customHeight="1">
      <x:c r="A3" s="57" t="str">
        <x:v>합성 예시 · 공식 통계 아님 | 등록 방법론·개정 버전·검토 신청을 분리한 대시보드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</x:row>
    <x:row r="4" ht="22" customHeight="1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</x:row>
    <x:row r="5" ht="22" customHeight="1">
      <x:c r="A5" s="63" t="str">
        <x:v>누적 고유 방법론</x:v>
      </x:c>
      <x:c r="B5" s="63"/>
      <x:c r="C5" s="63"/>
      <x:c r="D5" s="63" t="str">
        <x:v>적용 가능 확인</x:v>
      </x:c>
      <x:c r="E5" s="63"/>
      <x:c r="F5" s="63"/>
      <x:c r="G5" s="63" t="str">
        <x:v>선택연도 신규</x:v>
      </x:c>
      <x:c r="H5" s="63"/>
      <x:c r="I5" s="63"/>
      <x:c r="J5" s="63" t="str">
        <x:v>선택연도 개정</x:v>
      </x:c>
      <x:c r="K5" s="63"/>
      <x:c r="L5" s="63"/>
      <x:c r="M5" s="63" t="str">
        <x:v>검토 중 신청</x:v>
      </x:c>
      <x:c r="N5" s="63"/>
      <x:c r="O5" s="63"/>
      <x:c r="P5" s="63" t="str">
        <x:v>승인·등록대기</x:v>
      </x:c>
      <x:c r="Q5" s="63"/>
      <x:c r="R5" s="63"/>
    </x:row>
    <x:row r="6" ht="22" customHeight="1">
      <x:c r="A6" s="72" t="n">
        <x:f>'04_검토통계'!F6</x:f>
        <x:v>9</x:v>
      </x:c>
      <x:c r="B6" s="72"/>
      <x:c r="C6" s="72"/>
      <x:c r="D6" s="72" t="n">
        <x:f>'04_검토통계'!F7</x:f>
        <x:v>7</x:v>
      </x:c>
      <x:c r="E6" s="72"/>
      <x:c r="F6" s="72"/>
      <x:c r="G6" s="72" t="n">
        <x:f>'04_검토통계'!F8</x:f>
        <x:v>2</x:v>
      </x:c>
      <x:c r="H6" s="72"/>
      <x:c r="I6" s="72"/>
      <x:c r="J6" s="72" t="n">
        <x:f>'04_검토통계'!F9</x:f>
        <x:v>3</x:v>
      </x:c>
      <x:c r="K6" s="72"/>
      <x:c r="L6" s="72"/>
      <x:c r="M6" s="72" t="n">
        <x:f>'04_검토통계'!F10</x:f>
        <x:v>5</x:v>
      </x:c>
      <x:c r="N6" s="72"/>
      <x:c r="O6" s="72"/>
      <x:c r="P6" s="72" t="n">
        <x:f>'04_검토통계'!F11</x:f>
        <x:v>1</x:v>
      </x:c>
      <x:c r="Q6" s="72"/>
      <x:c r="R6" s="72"/>
    </x:row>
    <x:row r="7" ht="22" customHeight="1">
      <x:c r="A7" s="72"/>
      <x:c r="B7" s="72"/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</x:row>
    <x:row r="8" ht="22" customHeight="1">
      <x:c r="A8" s="72"/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</x:row>
    <x:row r="9" ht="22" customHeight="1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</x:row>
    <x:row r="10" ht="22" customHeight="1">
      <x:c r="A10" s="76" t="str">
        <x:f>"발생 기준일: "&amp;TEXT('01_설정'!$B$6,"yyyy-mm-dd")&amp;" | 지식 기준일: "&amp;TEXT('01_설정'!$B$7,"yyyy-mm-dd")</x:f>
        <x:v>발생 기준일: 2026-10-13 | 지식 기준일: 2026-10-13</x:v>
      </x:c>
      <x:c r="B10" s="76"/>
      <x:c r="C10" s="76"/>
      <x:c r="D10" s="76"/>
      <x:c r="E10" s="76"/>
      <x:c r="F10" s="76"/>
      <x:c r="G10" s="76"/>
      <x:c r="H10" s="76"/>
      <x:c r="I10" s="76"/>
      <x:c r="J10" s="76" t="str">
        <x:f>"집계 범위: "&amp;'01_설정'!$B$8&amp;" | 선택연도: "&amp;'01_설정'!$B$9</x:f>
        <x:v>집계 범위: industry | 선택연도: 2026</x:v>
      </x:c>
      <x:c r="K10" s="76"/>
      <x:c r="L10" s="76"/>
      <x:c r="M10" s="76"/>
      <x:c r="N10" s="76"/>
      <x:c r="O10" s="76"/>
      <x:c r="P10" s="76"/>
      <x:c r="Q10" s="76"/>
      <x:c r="R10" s="76"/>
    </x:row>
    <x:row r="11" ht="22" customHeight="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</x:row>
    <x:row r="12" ht="22" customHeight="1">
      <x:c r="A12" s="82" t="str">
        <x:v>연도별 신규·누적 등록 | 최초등록연도 확인분</x:v>
      </x:c>
      <x:c r="B12" s="82"/>
      <x:c r="C12" s="82"/>
      <x:c r="D12" s="82"/>
      <x:c r="E12" s="82"/>
      <x:c r="F12" s="82"/>
      <x:c r="G12" s="82"/>
      <x:c r="H12" s="82"/>
      <x:c r="I12" s="82"/>
      <x:c r="J12" s="82"/>
      <x:c r="K12" s="82" t="str">
        <x:v>신청 단계별 현재 현황</x:v>
      </x:c>
      <x:c r="L12" s="82"/>
      <x:c r="M12" s="82"/>
      <x:c r="N12" s="82"/>
      <x:c r="O12" s="82"/>
      <x:c r="P12" s="82"/>
      <x:c r="Q12" s="82"/>
      <x:c r="R12" s="82"/>
    </x:row>
    <x:row r="13" ht="22" customHeight="1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 ht="22" customHeight="1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 ht="22" customHeight="1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 ht="22" customHeight="1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 ht="22" customHeight="1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 ht="22" customHeight="1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 ht="22" customHeight="1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 ht="22" customHeight="1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 ht="22" customHeight="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 ht="22" customHeight="1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 ht="22" customHeight="1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 ht="22" customHeight="1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 ht="22" customHeight="1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 ht="22" customHeight="1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 ht="22" customHeight="1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 ht="22" customHeight="1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 ht="22" customHeight="1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 ht="22" customHeight="1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 ht="22" customHeight="1">
      <x:c r="A31" s="88" t="str">
        <x:f>"등록연도 미확인: "&amp;'04_검토통계'!F12&amp;"건 | 보완 대기: "&amp;'04_검토통계'!F14&amp;"건 | 내부 관리기준 초과: "&amp;'04_검토통계'!F15&amp;"건"</x:f>
        <x:v>등록연도 미확인: 1건 | 보완 대기: 1건 | 내부 관리기준 초과: 1건</x:v>
      </x:c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</x:row>
    <x:row r="32" ht="22" customHeight="1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 ht="22" customHeight="1">
      <x:c r="A33" s="76" t="str">
        <x:v>누적 KPI에는 등록연도 미확인분이 포함될 수 있으나, 연도별 차트에서는 제외. 내부 관리기준은 법정기한이 아님. 검토자료가 없는 경우 0건이 아닌 자료 미확보로 표시.</x:v>
      </x:c>
      <x:c r="B33" s="76"/>
      <x:c r="C33" s="76"/>
      <x:c r="D33" s="76"/>
      <x:c r="E33" s="76"/>
      <x:c r="F33" s="76"/>
      <x:c r="G33" s="76"/>
      <x:c r="H33" s="76"/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</x:row>
    <x:row r="34" ht="22" customHeight="1">
      <x:c r="A34" s="76"/>
      <x:c r="B34" s="76"/>
      <x:c r="C34" s="76"/>
      <x:c r="D34" s="76"/>
      <x:c r="E34" s="76"/>
      <x:c r="F34" s="76"/>
      <x:c r="G34" s="76"/>
      <x:c r="H34" s="76"/>
      <x:c r="I34" s="76"/>
      <x:c r="J34" s="76"/>
      <x:c r="K34" s="76"/>
      <x:c r="L34" s="76"/>
      <x:c r="M34" s="76"/>
      <x:c r="N34" s="76"/>
      <x:c r="O34" s="76"/>
      <x:c r="P34" s="76"/>
      <x:c r="Q34" s="76"/>
      <x:c r="R34" s="76"/>
    </x:row>
    <x:row r="35" ht="22" customHeight="1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 ht="22" customHeight="1">
      <x:c r="A36" s="88" t="str">
        <x:v>사용 순서: 01_설정 → 입력 원장(10~15) → 16_품질점검 → 02_대시보드. 웹 반영 전 scripts/manage.py from-xlsx로 JSON 변환·검증.</x:v>
      </x:c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</x:row>
    <x:row r="37" ht="22" customHeight="1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</x:row>
    <x:row r="38" ht="22" customHeight="1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</x:sheetData>
  <x:mergeCells>
    <x:mergeCell ref="A1:R2"/>
    <x:mergeCell ref="A3:R3"/>
    <x:mergeCell ref="A5:C5"/>
    <x:mergeCell ref="A6:C8"/>
    <x:mergeCell ref="D5:F5"/>
    <x:mergeCell ref="D6:F8"/>
    <x:mergeCell ref="G5:I5"/>
    <x:mergeCell ref="G6:I8"/>
    <x:mergeCell ref="J5:L5"/>
    <x:mergeCell ref="J6:L8"/>
    <x:mergeCell ref="M5:O5"/>
    <x:mergeCell ref="M6:O8"/>
    <x:mergeCell ref="P5:R5"/>
    <x:mergeCell ref="P6:R8"/>
    <x:mergeCell ref="A10:I10"/>
    <x:mergeCell ref="J10:R10"/>
    <x:mergeCell ref="A12:J12"/>
    <x:mergeCell ref="K12:R12"/>
    <x:mergeCell ref="A31:R31"/>
    <x:mergeCell ref="A33:R34"/>
    <x:mergeCell ref="A36:R37"/>
  </x:mergeCells>
  <x:pageMargins left="0.7" right="0.7" top="0.75" bottom="0.75" header="0.3" footer="0.3"/>
  <x:drawing xmlns:r="http://schemas.openxmlformats.org/officeDocument/2006/relationships" r:id="Ra345c5f9669e4c20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7" t="str">
        <x:v>연도별 등록 | 최초등록연도 확인분 기준</x:v>
      </x:c>
      <x:c r="B1" s="7"/>
      <x:c r="C1" s="7"/>
      <x:c r="D1" s="7"/>
      <x:c r="E1" s="7"/>
      <x:c r="F1" s="7"/>
      <x:c r="G1" s="7"/>
      <x:c r="H1" s="7"/>
    </x:row>
    <x:row r="2" ht="21" customHeight="1">
      <x:c r="A2" s="15" t="str">
        <x:v>누적 고유 방법론 총계에는 등록연도 미확인분이 포함될 수 있음. 이 표의 누적은 연도 확인분만 집계. 유효시작일로 등록일 대체 금지.</x:v>
      </x:c>
      <x:c r="B2" s="15"/>
      <x:c r="C2" s="15"/>
      <x:c r="D2" s="15"/>
      <x:c r="E2" s="15"/>
      <x:c r="F2" s="15"/>
      <x:c r="G2" s="15"/>
      <x:c r="H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</x:row>
    <x:row r="5" ht="21" customHeight="1">
      <x:c r="A5" s="20" t="str">
        <x:v>연도</x:v>
      </x:c>
      <x:c r="B5" s="20" t="str">
        <x:v>신규 등록</x:v>
      </x:c>
      <x:c r="C5" s="20" t="str">
        <x:v>등록연도 확인분 누적</x:v>
      </x:c>
      <x:c r="D5" s="20" t="str">
        <x:v>개정 등록</x:v>
      </x:c>
      <x:c r="E5" s="2"/>
      <x:c r="F5" s="2"/>
      <x:c r="G5" s="2"/>
      <x:c r="H5" s="2"/>
    </x:row>
    <x:row r="6" ht="21" customHeight="1">
      <x:c r="A6" s="92" t="n">
        <x:v>2015</x:v>
      </x:c>
      <x:c r="B6" s="92" t="n">
        <x:f>IF(OR(A6&gt;YEAR('01_설정'!$B$6),'01_설정'!$B$11="missing"),"",COUNTIFS('10_방법론'!$N$6:$N$105,1,'10_방법론'!$O$6:$O$105,A6))</x:f>
        <x:v>0</x:v>
      </x:c>
      <x:c r="C6" s="92" t="n">
        <x:f>IF(OR(A6&gt;YEAR('01_설정'!$B$6),'01_설정'!$B$11="missing"),"",COUNTIFS('10_방법론'!$N$6:$N$105,1,'10_방법론'!$H$6:$H$105,"&gt;0",'10_방법론'!$H$6:$H$105,"&lt;="&amp;MIN(DATE(A6,12,31),'01_설정'!$B$6)))</x:f>
        <x:v>0</x:v>
      </x:c>
      <x:c r="D6" s="92" t="n">
        <x:f>IF(OR(A6&gt;YEAR('01_설정'!$B$6),'01_설정'!$B$11="missing"),"",COUNTIFS('11_버전'!$I$6:$I$205,1,'11_버전'!$D$6:$D$205,"revision",'11_버전'!$J$6:$J$205,A6))</x:f>
        <x:v>0</x:v>
      </x:c>
      <x:c r="E6" s="2"/>
      <x:c r="F6" s="2"/>
      <x:c r="G6" s="2"/>
      <x:c r="H6" s="2"/>
    </x:row>
    <x:row r="7" ht="21" customHeight="1">
      <x:c r="A7" s="92" t="n">
        <x:v>2016</x:v>
      </x:c>
      <x:c r="B7" s="92" t="n">
        <x:f>IF(OR(A7&gt;YEAR('01_설정'!$B$6),'01_설정'!$B$11="missing"),"",COUNTIFS('10_방법론'!$N$6:$N$105,1,'10_방법론'!$O$6:$O$105,A7))</x:f>
        <x:v>0</x:v>
      </x:c>
      <x:c r="C7" s="92" t="n">
        <x:f>IF(OR(A7&gt;YEAR('01_설정'!$B$6),'01_설정'!$B$11="missing"),"",COUNTIFS('10_방법론'!$N$6:$N$105,1,'10_방법론'!$H$6:$H$105,"&gt;0",'10_방법론'!$H$6:$H$105,"&lt;="&amp;MIN(DATE(A7,12,31),'01_설정'!$B$6)))</x:f>
        <x:v>0</x:v>
      </x:c>
      <x:c r="D7" s="92" t="n">
        <x:f>IF(OR(A7&gt;YEAR('01_설정'!$B$6),'01_설정'!$B$11="missing"),"",COUNTIFS('11_버전'!$I$6:$I$205,1,'11_버전'!$D$6:$D$205,"revision",'11_버전'!$J$6:$J$205,A7))</x:f>
        <x:v>0</x:v>
      </x:c>
      <x:c r="E7" s="2"/>
      <x:c r="F7" s="2"/>
      <x:c r="G7" s="2"/>
      <x:c r="H7" s="2"/>
    </x:row>
    <x:row r="8" ht="21" customHeight="1">
      <x:c r="A8" s="92" t="n">
        <x:v>2017</x:v>
      </x:c>
      <x:c r="B8" s="92" t="n">
        <x:f>IF(OR(A8&gt;YEAR('01_설정'!$B$6),'01_설정'!$B$11="missing"),"",COUNTIFS('10_방법론'!$N$6:$N$105,1,'10_방법론'!$O$6:$O$105,A8))</x:f>
        <x:v>0</x:v>
      </x:c>
      <x:c r="C8" s="92" t="n">
        <x:f>IF(OR(A8&gt;YEAR('01_설정'!$B$6),'01_설정'!$B$11="missing"),"",COUNTIFS('10_방법론'!$N$6:$N$105,1,'10_방법론'!$H$6:$H$105,"&gt;0",'10_방법론'!$H$6:$H$105,"&lt;="&amp;MIN(DATE(A8,12,31),'01_설정'!$B$6)))</x:f>
        <x:v>0</x:v>
      </x:c>
      <x:c r="D8" s="92" t="n">
        <x:f>IF(OR(A8&gt;YEAR('01_설정'!$B$6),'01_설정'!$B$11="missing"),"",COUNTIFS('11_버전'!$I$6:$I$205,1,'11_버전'!$D$6:$D$205,"revision",'11_버전'!$J$6:$J$205,A8))</x:f>
        <x:v>0</x:v>
      </x:c>
      <x:c r="E8" s="2"/>
      <x:c r="F8" s="2"/>
      <x:c r="G8" s="2"/>
      <x:c r="H8" s="2"/>
    </x:row>
    <x:row r="9" ht="21" customHeight="1">
      <x:c r="A9" s="92" t="n">
        <x:v>2018</x:v>
      </x:c>
      <x:c r="B9" s="92" t="n">
        <x:f>IF(OR(A9&gt;YEAR('01_설정'!$B$6),'01_설정'!$B$11="missing"),"",COUNTIFS('10_방법론'!$N$6:$N$105,1,'10_방법론'!$O$6:$O$105,A9))</x:f>
        <x:v>0</x:v>
      </x:c>
      <x:c r="C9" s="92" t="n">
        <x:f>IF(OR(A9&gt;YEAR('01_설정'!$B$6),'01_설정'!$B$11="missing"),"",COUNTIFS('10_방법론'!$N$6:$N$105,1,'10_방법론'!$H$6:$H$105,"&gt;0",'10_방법론'!$H$6:$H$105,"&lt;="&amp;MIN(DATE(A9,12,31),'01_설정'!$B$6)))</x:f>
        <x:v>0</x:v>
      </x:c>
      <x:c r="D9" s="92" t="n">
        <x:f>IF(OR(A9&gt;YEAR('01_설정'!$B$6),'01_설정'!$B$11="missing"),"",COUNTIFS('11_버전'!$I$6:$I$205,1,'11_버전'!$D$6:$D$205,"revision",'11_버전'!$J$6:$J$205,A9))</x:f>
        <x:v>0</x:v>
      </x:c>
      <x:c r="E9" s="2"/>
      <x:c r="F9" s="2"/>
      <x:c r="G9" s="2"/>
      <x:c r="H9" s="2"/>
    </x:row>
    <x:row r="10" ht="21" customHeight="1">
      <x:c r="A10" s="92" t="n">
        <x:v>2019</x:v>
      </x:c>
      <x:c r="B10" s="92" t="n">
        <x:f>IF(OR(A10&gt;YEAR('01_설정'!$B$6),'01_설정'!$B$11="missing"),"",COUNTIFS('10_방법론'!$N$6:$N$105,1,'10_방법론'!$O$6:$O$105,A10))</x:f>
        <x:v>0</x:v>
      </x:c>
      <x:c r="C10" s="92" t="n">
        <x:f>IF(OR(A10&gt;YEAR('01_설정'!$B$6),'01_설정'!$B$11="missing"),"",COUNTIFS('10_방법론'!$N$6:$N$105,1,'10_방법론'!$H$6:$H$105,"&gt;0",'10_방법론'!$H$6:$H$105,"&lt;="&amp;MIN(DATE(A10,12,31),'01_설정'!$B$6)))</x:f>
        <x:v>0</x:v>
      </x:c>
      <x:c r="D10" s="92" t="n">
        <x:f>IF(OR(A10&gt;YEAR('01_설정'!$B$6),'01_설정'!$B$11="missing"),"",COUNTIFS('11_버전'!$I$6:$I$205,1,'11_버전'!$D$6:$D$205,"revision",'11_버전'!$J$6:$J$205,A10))</x:f>
        <x:v>0</x:v>
      </x:c>
      <x:c r="E10" s="2"/>
      <x:c r="F10" s="2"/>
      <x:c r="G10" s="2"/>
      <x:c r="H10" s="2"/>
    </x:row>
    <x:row r="11" ht="21" customHeight="1">
      <x:c r="A11" s="92" t="n">
        <x:v>2020</x:v>
      </x:c>
      <x:c r="B11" s="92" t="n">
        <x:f>IF(OR(A11&gt;YEAR('01_설정'!$B$6),'01_설정'!$B$11="missing"),"",COUNTIFS('10_방법론'!$N$6:$N$105,1,'10_방법론'!$O$6:$O$105,A11))</x:f>
        <x:v>1</x:v>
      </x:c>
      <x:c r="C11" s="92" t="n">
        <x:f>IF(OR(A11&gt;YEAR('01_설정'!$B$6),'01_설정'!$B$11="missing"),"",COUNTIFS('10_방법론'!$N$6:$N$105,1,'10_방법론'!$H$6:$H$105,"&gt;0",'10_방법론'!$H$6:$H$105,"&lt;="&amp;MIN(DATE(A11,12,31),'01_설정'!$B$6)))</x:f>
        <x:v>1</x:v>
      </x:c>
      <x:c r="D11" s="92" t="n">
        <x:f>IF(OR(A11&gt;YEAR('01_설정'!$B$6),'01_설정'!$B$11="missing"),"",COUNTIFS('11_버전'!$I$6:$I$205,1,'11_버전'!$D$6:$D$205,"revision",'11_버전'!$J$6:$J$205,A11))</x:f>
        <x:v>0</x:v>
      </x:c>
      <x:c r="E11" s="2"/>
      <x:c r="F11" s="2"/>
      <x:c r="G11" s="2"/>
      <x:c r="H11" s="2"/>
    </x:row>
    <x:row r="12" ht="21" customHeight="1">
      <x:c r="A12" s="92" t="n">
        <x:v>2021</x:v>
      </x:c>
      <x:c r="B12" s="92" t="n">
        <x:f>IF(OR(A12&gt;YEAR('01_설정'!$B$6),'01_설정'!$B$11="missing"),"",COUNTIFS('10_방법론'!$N$6:$N$105,1,'10_방법론'!$O$6:$O$105,A12))</x:f>
        <x:v>1</x:v>
      </x:c>
      <x:c r="C12" s="92" t="n">
        <x:f>IF(OR(A12&gt;YEAR('01_설정'!$B$6),'01_설정'!$B$11="missing"),"",COUNTIFS('10_방법론'!$N$6:$N$105,1,'10_방법론'!$H$6:$H$105,"&gt;0",'10_방법론'!$H$6:$H$105,"&lt;="&amp;MIN(DATE(A12,12,31),'01_설정'!$B$6)))</x:f>
        <x:v>2</x:v>
      </x:c>
      <x:c r="D12" s="92" t="n">
        <x:f>IF(OR(A12&gt;YEAR('01_설정'!$B$6),'01_설정'!$B$11="missing"),"",COUNTIFS('11_버전'!$I$6:$I$205,1,'11_버전'!$D$6:$D$205,"revision",'11_버전'!$J$6:$J$205,A12))</x:f>
        <x:v>0</x:v>
      </x:c>
      <x:c r="E12" s="2"/>
      <x:c r="F12" s="2"/>
      <x:c r="G12" s="2"/>
      <x:c r="H12" s="2"/>
    </x:row>
    <x:row r="13" ht="21" customHeight="1">
      <x:c r="A13" s="92" t="n">
        <x:v>2022</x:v>
      </x:c>
      <x:c r="B13" s="92" t="n">
        <x:f>IF(OR(A13&gt;YEAR('01_설정'!$B$6),'01_설정'!$B$11="missing"),"",COUNTIFS('10_방법론'!$N$6:$N$105,1,'10_방법론'!$O$6:$O$105,A13))</x:f>
        <x:v>1</x:v>
      </x:c>
      <x:c r="C13" s="92" t="n">
        <x:f>IF(OR(A13&gt;YEAR('01_설정'!$B$6),'01_설정'!$B$11="missing"),"",COUNTIFS('10_방법론'!$N$6:$N$105,1,'10_방법론'!$H$6:$H$105,"&gt;0",'10_방법론'!$H$6:$H$105,"&lt;="&amp;MIN(DATE(A13,12,31),'01_설정'!$B$6)))</x:f>
        <x:v>3</x:v>
      </x:c>
      <x:c r="D13" s="92" t="n">
        <x:f>IF(OR(A13&gt;YEAR('01_설정'!$B$6),'01_설정'!$B$11="missing"),"",COUNTIFS('11_버전'!$I$6:$I$205,1,'11_버전'!$D$6:$D$205,"revision",'11_버전'!$J$6:$J$205,A13))</x:f>
        <x:v>0</x:v>
      </x:c>
      <x:c r="E13" s="2"/>
      <x:c r="F13" s="2"/>
      <x:c r="G13" s="2"/>
      <x:c r="H13" s="2"/>
    </x:row>
    <x:row r="14" ht="21" customHeight="1">
      <x:c r="A14" s="92" t="n">
        <x:v>2023</x:v>
      </x:c>
      <x:c r="B14" s="92" t="n">
        <x:f>IF(OR(A14&gt;YEAR('01_설정'!$B$6),'01_설정'!$B$11="missing"),"",COUNTIFS('10_방법론'!$N$6:$N$105,1,'10_방법론'!$O$6:$O$105,A14))</x:f>
        <x:v>1</x:v>
      </x:c>
      <x:c r="C14" s="92" t="n">
        <x:f>IF(OR(A14&gt;YEAR('01_설정'!$B$6),'01_설정'!$B$11="missing"),"",COUNTIFS('10_방법론'!$N$6:$N$105,1,'10_방법론'!$H$6:$H$105,"&gt;0",'10_방법론'!$H$6:$H$105,"&lt;="&amp;MIN(DATE(A14,12,31),'01_설정'!$B$6)))</x:f>
        <x:v>4</x:v>
      </x:c>
      <x:c r="D14" s="92" t="n">
        <x:f>IF(OR(A14&gt;YEAR('01_설정'!$B$6),'01_설정'!$B$11="missing"),"",COUNTIFS('11_버전'!$I$6:$I$205,1,'11_버전'!$D$6:$D$205,"revision",'11_버전'!$J$6:$J$205,A14))</x:f>
        <x:v>0</x:v>
      </x:c>
      <x:c r="E14" s="2"/>
      <x:c r="F14" s="2"/>
      <x:c r="G14" s="2"/>
      <x:c r="H14" s="2"/>
    </x:row>
    <x:row r="15" ht="21" customHeight="1">
      <x:c r="A15" s="92" t="n">
        <x:v>2024</x:v>
      </x:c>
      <x:c r="B15" s="92" t="n">
        <x:f>IF(OR(A15&gt;YEAR('01_설정'!$B$6),'01_설정'!$B$11="missing"),"",COUNTIFS('10_방법론'!$N$6:$N$105,1,'10_방법론'!$O$6:$O$105,A15))</x:f>
        <x:v>1</x:v>
      </x:c>
      <x:c r="C15" s="92" t="n">
        <x:f>IF(OR(A15&gt;YEAR('01_설정'!$B$6),'01_설정'!$B$11="missing"),"",COUNTIFS('10_방법론'!$N$6:$N$105,1,'10_방법론'!$H$6:$H$105,"&gt;0",'10_방법론'!$H$6:$H$105,"&lt;="&amp;MIN(DATE(A15,12,31),'01_설정'!$B$6)))</x:f>
        <x:v>5</x:v>
      </x:c>
      <x:c r="D15" s="92" t="n">
        <x:f>IF(OR(A15&gt;YEAR('01_설정'!$B$6),'01_설정'!$B$11="missing"),"",COUNTIFS('11_버전'!$I$6:$I$205,1,'11_버전'!$D$6:$D$205,"revision",'11_버전'!$J$6:$J$205,A15))</x:f>
        <x:v>0</x:v>
      </x:c>
      <x:c r="E15" s="2"/>
      <x:c r="F15" s="2"/>
      <x:c r="G15" s="2"/>
      <x:c r="H15" s="2"/>
    </x:row>
    <x:row r="16" ht="21" customHeight="1">
      <x:c r="A16" s="92" t="n">
        <x:v>2025</x:v>
      </x:c>
      <x:c r="B16" s="92" t="n">
        <x:f>IF(OR(A16&gt;YEAR('01_설정'!$B$6),'01_설정'!$B$11="missing"),"",COUNTIFS('10_방법론'!$N$6:$N$105,1,'10_방법론'!$O$6:$O$105,A16))</x:f>
        <x:v>1</x:v>
      </x:c>
      <x:c r="C16" s="92" t="n">
        <x:f>IF(OR(A16&gt;YEAR('01_설정'!$B$6),'01_설정'!$B$11="missing"),"",COUNTIFS('10_방법론'!$N$6:$N$105,1,'10_방법론'!$H$6:$H$105,"&gt;0",'10_방법론'!$H$6:$H$105,"&lt;="&amp;MIN(DATE(A16,12,31),'01_설정'!$B$6)))</x:f>
        <x:v>6</x:v>
      </x:c>
      <x:c r="D16" s="92" t="n">
        <x:f>IF(OR(A16&gt;YEAR('01_설정'!$B$6),'01_설정'!$B$11="missing"),"",COUNTIFS('11_버전'!$I$6:$I$205,1,'11_버전'!$D$6:$D$205,"revision",'11_버전'!$J$6:$J$205,A16))</x:f>
        <x:v>1</x:v>
      </x:c>
      <x:c r="E16" s="2"/>
      <x:c r="F16" s="2"/>
      <x:c r="G16" s="2"/>
      <x:c r="H16" s="2"/>
    </x:row>
    <x:row r="17" ht="21" customHeight="1">
      <x:c r="A17" s="92" t="n">
        <x:v>2026</x:v>
      </x:c>
      <x:c r="B17" s="92" t="n">
        <x:f>IF(OR(A17&gt;YEAR('01_설정'!$B$6),'01_설정'!$B$11="missing"),"",COUNTIFS('10_방법론'!$N$6:$N$105,1,'10_방법론'!$O$6:$O$105,A17))</x:f>
        <x:v>2</x:v>
      </x:c>
      <x:c r="C17" s="92" t="n">
        <x:f>IF(OR(A17&gt;YEAR('01_설정'!$B$6),'01_설정'!$B$11="missing"),"",COUNTIFS('10_방법론'!$N$6:$N$105,1,'10_방법론'!$H$6:$H$105,"&gt;0",'10_방법론'!$H$6:$H$105,"&lt;="&amp;MIN(DATE(A17,12,31),'01_설정'!$B$6)))</x:f>
        <x:v>8</x:v>
      </x:c>
      <x:c r="D17" s="92" t="n">
        <x:f>IF(OR(A17&gt;YEAR('01_설정'!$B$6),'01_설정'!$B$11="missing"),"",COUNTIFS('11_버전'!$I$6:$I$205,1,'11_버전'!$D$6:$D$205,"revision",'11_버전'!$J$6:$J$205,A17))</x:f>
        <x:v>3</x:v>
      </x:c>
      <x:c r="E17" s="2"/>
      <x:c r="F17" s="2"/>
      <x:c r="G17" s="2"/>
      <x:c r="H17" s="2"/>
    </x:row>
    <x:row r="18" ht="21" customHeight="1">
      <x:c r="A18" s="92" t="n">
        <x:v>2027</x:v>
      </x:c>
      <x:c r="B18" s="92" t="str">
        <x:f>IF(OR(A18&gt;YEAR('01_설정'!$B$6),'01_설정'!$B$11="missing"),"",COUNTIFS('10_방법론'!$N$6:$N$105,1,'10_방법론'!$O$6:$O$105,A18))</x:f>
      </x:c>
      <x:c r="C18" s="92" t="str">
        <x:f>IF(OR(A18&gt;YEAR('01_설정'!$B$6),'01_설정'!$B$11="missing"),"",COUNTIFS('10_방법론'!$N$6:$N$105,1,'10_방법론'!$H$6:$H$105,"&gt;0",'10_방법론'!$H$6:$H$105,"&lt;="&amp;MIN(DATE(A18,12,31),'01_설정'!$B$6)))</x:f>
      </x:c>
      <x:c r="D18" s="92" t="str">
        <x:f>IF(OR(A18&gt;YEAR('01_설정'!$B$6),'01_설정'!$B$11="missing"),"",COUNTIFS('11_버전'!$I$6:$I$205,1,'11_버전'!$D$6:$D$205,"revision",'11_버전'!$J$6:$J$205,A18))</x:f>
      </x:c>
      <x:c r="E18" s="2"/>
      <x:c r="F18" s="2"/>
      <x:c r="G18" s="2"/>
      <x:c r="H18" s="2"/>
    </x:row>
    <x:row r="19" ht="21" customHeight="1">
      <x:c r="A19" s="92" t="n">
        <x:v>2028</x:v>
      </x:c>
      <x:c r="B19" s="92" t="str">
        <x:f>IF(OR(A19&gt;YEAR('01_설정'!$B$6),'01_설정'!$B$11="missing"),"",COUNTIFS('10_방법론'!$N$6:$N$105,1,'10_방법론'!$O$6:$O$105,A19))</x:f>
      </x:c>
      <x:c r="C19" s="92" t="str">
        <x:f>IF(OR(A19&gt;YEAR('01_설정'!$B$6),'01_설정'!$B$11="missing"),"",COUNTIFS('10_방법론'!$N$6:$N$105,1,'10_방법론'!$H$6:$H$105,"&gt;0",'10_방법론'!$H$6:$H$105,"&lt;="&amp;MIN(DATE(A19,12,31),'01_설정'!$B$6)))</x:f>
      </x:c>
      <x:c r="D19" s="92" t="str">
        <x:f>IF(OR(A19&gt;YEAR('01_설정'!$B$6),'01_설정'!$B$11="missing"),"",COUNTIFS('11_버전'!$I$6:$I$205,1,'11_버전'!$D$6:$D$205,"revision",'11_버전'!$J$6:$J$205,A19))</x:f>
      </x:c>
      <x:c r="E19" s="2"/>
      <x:c r="F19" s="2"/>
      <x:c r="G19" s="2"/>
      <x:c r="H19" s="2"/>
    </x:row>
    <x:row r="20" ht="21" customHeight="1">
      <x:c r="A20" s="92" t="n">
        <x:v>2029</x:v>
      </x:c>
      <x:c r="B20" s="92" t="str">
        <x:f>IF(OR(A20&gt;YEAR('01_설정'!$B$6),'01_설정'!$B$11="missing"),"",COUNTIFS('10_방법론'!$N$6:$N$105,1,'10_방법론'!$O$6:$O$105,A20))</x:f>
      </x:c>
      <x:c r="C20" s="92" t="str">
        <x:f>IF(OR(A20&gt;YEAR('01_설정'!$B$6),'01_설정'!$B$11="missing"),"",COUNTIFS('10_방법론'!$N$6:$N$105,1,'10_방법론'!$H$6:$H$105,"&gt;0",'10_방법론'!$H$6:$H$105,"&lt;="&amp;MIN(DATE(A20,12,31),'01_설정'!$B$6)))</x:f>
      </x:c>
      <x:c r="D20" s="92" t="str">
        <x:f>IF(OR(A20&gt;YEAR('01_설정'!$B$6),'01_설정'!$B$11="missing"),"",COUNTIFS('11_버전'!$I$6:$I$205,1,'11_버전'!$D$6:$D$205,"revision",'11_버전'!$J$6:$J$205,A20))</x:f>
      </x:c>
      <x:c r="E20" s="2"/>
      <x:c r="F20" s="2"/>
      <x:c r="G20" s="2"/>
      <x:c r="H20" s="2"/>
    </x:row>
    <x:row r="21" ht="21" customHeight="1">
      <x:c r="A21" s="92" t="n">
        <x:v>2030</x:v>
      </x:c>
      <x:c r="B21" s="92" t="str">
        <x:f>IF(OR(A21&gt;YEAR('01_설정'!$B$6),'01_설정'!$B$11="missing"),"",COUNTIFS('10_방법론'!$N$6:$N$105,1,'10_방법론'!$O$6:$O$105,A21))</x:f>
      </x:c>
      <x:c r="C21" s="92" t="str">
        <x:f>IF(OR(A21&gt;YEAR('01_설정'!$B$6),'01_설정'!$B$11="missing"),"",COUNTIFS('10_방법론'!$N$6:$N$105,1,'10_방법론'!$H$6:$H$105,"&gt;0",'10_방법론'!$H$6:$H$105,"&lt;="&amp;MIN(DATE(A21,12,31),'01_설정'!$B$6)))</x:f>
      </x:c>
      <x:c r="D21" s="92" t="str">
        <x:f>IF(OR(A21&gt;YEAR('01_설정'!$B$6),'01_설정'!$B$11="missing"),"",COUNTIFS('11_버전'!$I$6:$I$205,1,'11_버전'!$D$6:$D$205,"revision",'11_버전'!$J$6:$J$205,A21))</x:f>
      </x:c>
      <x:c r="E21" s="2"/>
      <x:c r="F21" s="2"/>
      <x:c r="G21" s="2"/>
      <x:c r="H21" s="2"/>
    </x:row>
    <x:row r="22" ht="21" customHeight="1">
      <x:c r="A22" s="92" t="n">
        <x:v>2031</x:v>
      </x:c>
      <x:c r="B22" s="92" t="str">
        <x:f>IF(OR(A22&gt;YEAR('01_설정'!$B$6),'01_설정'!$B$11="missing"),"",COUNTIFS('10_방법론'!$N$6:$N$105,1,'10_방법론'!$O$6:$O$105,A22))</x:f>
      </x:c>
      <x:c r="C22" s="92" t="str">
        <x:f>IF(OR(A22&gt;YEAR('01_설정'!$B$6),'01_설정'!$B$11="missing"),"",COUNTIFS('10_방법론'!$N$6:$N$105,1,'10_방법론'!$H$6:$H$105,"&gt;0",'10_방법론'!$H$6:$H$105,"&lt;="&amp;MIN(DATE(A22,12,31),'01_설정'!$B$6)))</x:f>
      </x:c>
      <x:c r="D22" s="92" t="str">
        <x:f>IF(OR(A22&gt;YEAR('01_설정'!$B$6),'01_설정'!$B$11="missing"),"",COUNTIFS('11_버전'!$I$6:$I$205,1,'11_버전'!$D$6:$D$205,"revision",'11_버전'!$J$6:$J$205,A22))</x:f>
      </x:c>
      <x:c r="E22" s="2"/>
      <x:c r="F22" s="2"/>
      <x:c r="G22" s="2"/>
      <x:c r="H22" s="2"/>
    </x:row>
    <x:row r="23" ht="21" customHeight="1">
      <x:c r="A23" s="92" t="n">
        <x:v>2032</x:v>
      </x:c>
      <x:c r="B23" s="92" t="str">
        <x:f>IF(OR(A23&gt;YEAR('01_설정'!$B$6),'01_설정'!$B$11="missing"),"",COUNTIFS('10_방법론'!$N$6:$N$105,1,'10_방법론'!$O$6:$O$105,A23))</x:f>
      </x:c>
      <x:c r="C23" s="92" t="str">
        <x:f>IF(OR(A23&gt;YEAR('01_설정'!$B$6),'01_설정'!$B$11="missing"),"",COUNTIFS('10_방법론'!$N$6:$N$105,1,'10_방법론'!$H$6:$H$105,"&gt;0",'10_방법론'!$H$6:$H$105,"&lt;="&amp;MIN(DATE(A23,12,31),'01_설정'!$B$6)))</x:f>
      </x:c>
      <x:c r="D23" s="92" t="str">
        <x:f>IF(OR(A23&gt;YEAR('01_설정'!$B$6),'01_설정'!$B$11="missing"),"",COUNTIFS('11_버전'!$I$6:$I$205,1,'11_버전'!$D$6:$D$205,"revision",'11_버전'!$J$6:$J$205,A23))</x:f>
      </x:c>
      <x:c r="E23" s="2"/>
      <x:c r="F23" s="2"/>
      <x:c r="G23" s="2"/>
      <x:c r="H23" s="2"/>
    </x:row>
    <x:row r="24" ht="21" customHeight="1">
      <x:c r="A24" s="92" t="n">
        <x:v>2033</x:v>
      </x:c>
      <x:c r="B24" s="92" t="str">
        <x:f>IF(OR(A24&gt;YEAR('01_설정'!$B$6),'01_설정'!$B$11="missing"),"",COUNTIFS('10_방법론'!$N$6:$N$105,1,'10_방법론'!$O$6:$O$105,A24))</x:f>
      </x:c>
      <x:c r="C24" s="92" t="str">
        <x:f>IF(OR(A24&gt;YEAR('01_설정'!$B$6),'01_설정'!$B$11="missing"),"",COUNTIFS('10_방법론'!$N$6:$N$105,1,'10_방법론'!$H$6:$H$105,"&gt;0",'10_방법론'!$H$6:$H$105,"&lt;="&amp;MIN(DATE(A24,12,31),'01_설정'!$B$6)))</x:f>
      </x:c>
      <x:c r="D24" s="92" t="str">
        <x:f>IF(OR(A24&gt;YEAR('01_설정'!$B$6),'01_설정'!$B$11="missing"),"",COUNTIFS('11_버전'!$I$6:$I$205,1,'11_버전'!$D$6:$D$205,"revision",'11_버전'!$J$6:$J$205,A24))</x:f>
      </x:c>
      <x:c r="E24" s="2"/>
      <x:c r="F24" s="2"/>
      <x:c r="G24" s="2"/>
      <x:c r="H24" s="2"/>
    </x:row>
    <x:row r="25" ht="21" customHeight="1">
      <x:c r="A25" s="92" t="n">
        <x:v>2034</x:v>
      </x:c>
      <x:c r="B25" s="92" t="str">
        <x:f>IF(OR(A25&gt;YEAR('01_설정'!$B$6),'01_설정'!$B$11="missing"),"",COUNTIFS('10_방법론'!$N$6:$N$105,1,'10_방법론'!$O$6:$O$105,A25))</x:f>
      </x:c>
      <x:c r="C25" s="92" t="str">
        <x:f>IF(OR(A25&gt;YEAR('01_설정'!$B$6),'01_설정'!$B$11="missing"),"",COUNTIFS('10_방법론'!$N$6:$N$105,1,'10_방법론'!$H$6:$H$105,"&gt;0",'10_방법론'!$H$6:$H$105,"&lt;="&amp;MIN(DATE(A25,12,31),'01_설정'!$B$6)))</x:f>
      </x:c>
      <x:c r="D25" s="92" t="str">
        <x:f>IF(OR(A25&gt;YEAR('01_설정'!$B$6),'01_설정'!$B$11="missing"),"",COUNTIFS('11_버전'!$I$6:$I$205,1,'11_버전'!$D$6:$D$205,"revision",'11_버전'!$J$6:$J$205,A25))</x:f>
      </x:c>
      <x:c r="E25" s="2"/>
      <x:c r="F25" s="2"/>
      <x:c r="G25" s="2"/>
      <x:c r="H25" s="2"/>
    </x:row>
    <x:row r="26" ht="21" customHeight="1">
      <x:c r="A26" s="92" t="n">
        <x:v>2035</x:v>
      </x:c>
      <x:c r="B26" s="92" t="str">
        <x:f>IF(OR(A26&gt;YEAR('01_설정'!$B$6),'01_설정'!$B$11="missing"),"",COUNTIFS('10_방법론'!$N$6:$N$105,1,'10_방법론'!$O$6:$O$105,A26))</x:f>
      </x:c>
      <x:c r="C26" s="92" t="str">
        <x:f>IF(OR(A26&gt;YEAR('01_설정'!$B$6),'01_설정'!$B$11="missing"),"",COUNTIFS('10_방법론'!$N$6:$N$105,1,'10_방법론'!$H$6:$H$105,"&gt;0",'10_방법론'!$H$6:$H$105,"&lt;="&amp;MIN(DATE(A26,12,31),'01_설정'!$B$6)))</x:f>
      </x:c>
      <x:c r="D26" s="92" t="str">
        <x:f>IF(OR(A26&gt;YEAR('01_설정'!$B$6),'01_설정'!$B$11="missing"),"",COUNTIFS('11_버전'!$I$6:$I$205,1,'11_버전'!$D$6:$D$205,"revision",'11_버전'!$J$6:$J$205,A26))</x:f>
      </x:c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</x:row>
  </x:sheetData>
  <x:mergeCells>
    <x:mergeCell ref="A1:H1"/>
    <x:mergeCell ref="A2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9" hidden="0" customWidth="1"/>
    <x:col min="6" max="6" width="16" hidden="0" customWidth="1"/>
    <x:col min="7" max="7" width="29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7" t="str">
        <x:v>공통 지표 | 등록·신청을 별도 단위로 집계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1" customHeight="1">
      <x:c r="A2" s="15" t="str">
        <x:v>자료 미확보는 텍스트 표시. 처리기간은 완료 건의 접수→최종 처리까지 달력일; 보완기간을 임의 차감하지 않음.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1" customHeight="1">
      <x:c r="A5" s="20" t="str">
        <x:v>stage</x:v>
      </x:c>
      <x:c r="B5" s="20" t="str">
        <x:v>표시명</x:v>
      </x:c>
      <x:c r="C5" s="20" t="str">
        <x:v>현재 건수</x:v>
      </x:c>
      <x:c r="D5" s="2"/>
      <x:c r="E5" s="20" t="str">
        <x:v>metric_id</x:v>
      </x:c>
      <x:c r="F5" s="20" t="str">
        <x:v>value</x:v>
      </x:c>
      <x:c r="G5" s="20" t="str">
        <x:v>표시명</x:v>
      </x:c>
      <x:c r="H5" s="2"/>
      <x:c r="I5" s="2"/>
      <x:c r="J5" s="2"/>
    </x:row>
    <x:row r="6" ht="21" customHeight="1">
      <x:c r="A6" s="2" t="str">
        <x:v>draft</x:v>
      </x:c>
      <x:c r="B6" s="2" t="str">
        <x:v>신청 준비</x:v>
      </x:c>
      <x:c r="C6" s="92" t="n">
        <x:f>IF('01_설정'!$B$12="missing","자료 미확보",COUNTIFS('12_신청'!$N$6:$N$105,0,'12_신청'!$L$6:$L$105,1))</x:f>
        <x:v>0</x:v>
      </x:c>
      <x:c r="D6" s="2"/>
      <x:c r="E6" s="2" t="str">
        <x:v>registered</x:v>
      </x:c>
      <x:c r="F6" s="94" t="n">
        <x:f>IF('01_설정'!$B$11="missing","자료 미확보",SUM('10_방법론'!$N$6:$N$105))</x:f>
        <x:v>9</x:v>
      </x:c>
      <x:c r="G6" s="2" t="str">
        <x:v>누적 고유 방법론</x:v>
      </x:c>
      <x:c r="H6" s="2"/>
      <x:c r="I6" s="2"/>
      <x:c r="J6" s="2"/>
    </x:row>
    <x:row r="7" ht="21" customHeight="1">
      <x:c r="A7" s="2" t="str">
        <x:v>submitted</x:v>
      </x:c>
      <x:c r="B7" s="2" t="str">
        <x:v>접수</x:v>
      </x:c>
      <x:c r="C7" s="92" t="n">
        <x:f>IF('01_설정'!$B$12="missing","자료 미확보",COUNTIFS('12_신청'!$N$6:$N$105,1,'12_신청'!$L$6:$L$105,1))</x:f>
        <x:v>1</x:v>
      </x:c>
      <x:c r="D7" s="2"/>
      <x:c r="E7" s="2" t="str">
        <x:v>active</x:v>
      </x:c>
      <x:c r="F7" s="94" t="n">
        <x:f>IF('01_설정'!$B$11="missing","자료 미확보",SUM('10_방법론'!$R$6:$R$105))</x:f>
        <x:v>7</x:v>
      </x:c>
      <x:c r="G7" s="2" t="str">
        <x:v>적용 가능 확인</x:v>
      </x:c>
      <x:c r="H7" s="2"/>
      <x:c r="I7" s="2"/>
      <x:c r="J7" s="2"/>
    </x:row>
    <x:row r="8" ht="21" customHeight="1">
      <x:c r="A8" s="2" t="str">
        <x:v>review</x:v>
      </x:c>
      <x:c r="B8" s="2" t="str">
        <x:v>관장기관 검토</x:v>
      </x:c>
      <x:c r="C8" s="92" t="n">
        <x:f>IF('01_설정'!$B$12="missing","자료 미확보",COUNTIFS('12_신청'!$N$6:$N$105,2,'12_신청'!$L$6:$L$105,1))</x:f>
        <x:v>2</x:v>
      </x:c>
      <x:c r="D8" s="2"/>
      <x:c r="E8" s="2" t="str">
        <x:v>new_year</x:v>
      </x:c>
      <x:c r="F8" s="94" t="n">
        <x:f>IF('01_설정'!$B$11="missing","자료 미확보",COUNTIFS('10_방법론'!$N$6:$N$105,1,'10_방법론'!$O$6:$O$105,'01_설정'!$B$9))</x:f>
        <x:v>2</x:v>
      </x:c>
      <x:c r="G8" s="2" t="str">
        <x:v>선택연도 신규</x:v>
      </x:c>
      <x:c r="H8" s="2"/>
      <x:c r="I8" s="2"/>
      <x:c r="J8" s="2"/>
    </x:row>
    <x:row r="9" ht="21" customHeight="1">
      <x:c r="A9" s="2" t="str">
        <x:v>consultation</x:v>
      </x:c>
      <x:c r="B9" s="2" t="str">
        <x:v>관계기관 협의</x:v>
      </x:c>
      <x:c r="C9" s="92" t="n">
        <x:f>IF('01_설정'!$B$12="missing","자료 미확보",COUNTIFS('12_신청'!$N$6:$N$105,3,'12_신청'!$L$6:$L$105,1))</x:f>
        <x:v>1</x:v>
      </x:c>
      <x:c r="D9" s="2"/>
      <x:c r="E9" s="2" t="str">
        <x:v>revisions_year</x:v>
      </x:c>
      <x:c r="F9" s="94" t="n">
        <x:f>IF('01_설정'!$B$11="missing","자료 미확보",COUNTIFS('11_버전'!$I$6:$I$205,1,'11_버전'!$D$6:$D$205,"revision",'11_버전'!$J$6:$J$205,'01_설정'!$B$9))</x:f>
        <x:v>3</x:v>
      </x:c>
      <x:c r="G9" s="2" t="str">
        <x:v>선택연도 개정</x:v>
      </x:c>
      <x:c r="H9" s="2"/>
      <x:c r="I9" s="2"/>
      <x:c r="J9" s="2"/>
    </x:row>
    <x:row r="10" ht="21" customHeight="1">
      <x:c r="A10" s="2" t="str">
        <x:v>committee</x:v>
      </x:c>
      <x:c r="B10" s="2" t="str">
        <x:v>심의</x:v>
      </x:c>
      <x:c r="C10" s="92" t="n">
        <x:f>IF('01_설정'!$B$12="missing","자료 미확보",COUNTIFS('12_신청'!$N$6:$N$105,4,'12_신청'!$L$6:$L$105,1))</x:f>
        <x:v>1</x:v>
      </x:c>
      <x:c r="D10" s="2"/>
      <x:c r="E10" s="2" t="str">
        <x:v>reviewing</x:v>
      </x:c>
      <x:c r="F10" s="94" t="n">
        <x:f>IF('01_설정'!$B$12="missing","자료 미확보",SUM('12_신청'!$S$6:$S$105))</x:f>
        <x:v>5</x:v>
      </x:c>
      <x:c r="G10" s="2" t="str">
        <x:v>검토 중 신청</x:v>
      </x:c>
      <x:c r="H10" s="2"/>
      <x:c r="I10" s="2"/>
      <x:c r="J10" s="2"/>
    </x:row>
    <x:row r="11" ht="21" customHeight="1">
      <x:c r="A11" s="2" t="str">
        <x:v>approved</x:v>
      </x:c>
      <x:c r="B11" s="2" t="str">
        <x:v>승인·등록대기</x:v>
      </x:c>
      <x:c r="C11" s="92" t="n">
        <x:f>IF('01_설정'!$B$12="missing","자료 미확보",COUNTIFS('12_신청'!$N$6:$N$105,5,'12_신청'!$L$6:$L$105,1))</x:f>
        <x:v>1</x:v>
      </x:c>
      <x:c r="D11" s="2"/>
      <x:c r="E11" s="2" t="str">
        <x:v>pending_registration</x:v>
      </x:c>
      <x:c r="F11" s="94" t="n">
        <x:f>IF('01_설정'!$B$12="missing","자료 미확보",SUM('12_신청'!$U$6:$U$105))</x:f>
        <x:v>1</x:v>
      </x:c>
      <x:c r="G11" s="2" t="str">
        <x:v>승인·등록대기</x:v>
      </x:c>
      <x:c r="H11" s="2"/>
      <x:c r="I11" s="2"/>
      <x:c r="J11" s="2"/>
    </x:row>
    <x:row r="12" ht="21" customHeight="1">
      <x:c r="A12" s="2" t="str">
        <x:v>registered</x:v>
      </x:c>
      <x:c r="B12" s="2" t="str">
        <x:v>등록 완료</x:v>
      </x:c>
      <x:c r="C12" s="92" t="n">
        <x:f>IF('01_설정'!$B$12="missing","자료 미확보",COUNTIFS('12_신청'!$N$6:$N$105,6,'12_신청'!$L$6:$L$105,1))</x:f>
        <x:v>1</x:v>
      </x:c>
      <x:c r="D12" s="2"/>
      <x:c r="E12" s="2" t="str">
        <x:v>unknown_year</x:v>
      </x:c>
      <x:c r="F12" s="94" t="n">
        <x:f>IF('01_설정'!$B$11="missing","자료 미확보",SUM('10_방법론'!$S$6:$S$105))</x:f>
        <x:v>1</x:v>
      </x:c>
      <x:c r="G12" s="2" t="str">
        <x:v>최초등록연도 미확인</x:v>
      </x:c>
      <x:c r="H12" s="2"/>
      <x:c r="I12" s="2"/>
      <x:c r="J12" s="2"/>
    </x:row>
    <x:row r="13" ht="21" customHeight="1">
      <x:c r="A13" s="2" t="str">
        <x:v>rejected</x:v>
      </x:c>
      <x:c r="B13" s="2" t="str">
        <x:v>반려·불승인</x:v>
      </x:c>
      <x:c r="C13" s="92" t="n">
        <x:f>IF('01_설정'!$B$12="missing","자료 미확보",COUNTIFS('12_신청'!$N$6:$N$105,7,'12_신청'!$L$6:$L$105,1))</x:f>
        <x:v>1</x:v>
      </x:c>
      <x:c r="D13" s="2"/>
      <x:c r="E13" s="2" t="str">
        <x:v>unknown_status</x:v>
      </x:c>
      <x:c r="F13" s="94" t="n">
        <x:f>IF('01_설정'!$B$11="missing","자료 미확보",COUNTIFS('10_방법론'!$N$6:$N$105,1,'10_방법론'!$Q$6:$Q$105,0))</x:f>
        <x:v>1</x:v>
      </x:c>
      <x:c r="G13" s="2" t="str">
        <x:v>적용상태 미확인</x:v>
      </x:c>
      <x:c r="H13" s="2"/>
      <x:c r="I13" s="2"/>
      <x:c r="J13" s="2"/>
    </x:row>
    <x:row r="14" ht="21" customHeight="1">
      <x:c r="A14" s="2" t="str">
        <x:v>withdrawn</x:v>
      </x:c>
      <x:c r="B14" s="2" t="str">
        <x:v>철회</x:v>
      </x:c>
      <x:c r="C14" s="92" t="n">
        <x:f>IF('01_설정'!$B$12="missing","자료 미확보",COUNTIFS('12_신청'!$N$6:$N$105,8,'12_신청'!$L$6:$L$105,1))</x:f>
        <x:v>1</x:v>
      </x:c>
      <x:c r="D14" s="2"/>
      <x:c r="E14" s="2" t="str">
        <x:v>waiting</x:v>
      </x:c>
      <x:c r="F14" s="94" t="n">
        <x:f>IF('01_설정'!$B$12="missing","자료 미확보",SUMIFS('12_신청'!$R$6:$R$105,'12_신청'!$S$6:$S$105,1))</x:f>
        <x:v>1</x:v>
      </x:c>
      <x:c r="G14" s="2" t="str">
        <x:v>보완 대기</x:v>
      </x:c>
      <x:c r="H14" s="2"/>
      <x:c r="I14" s="2"/>
      <x:c r="J14" s="2"/>
    </x:row>
    <x:row r="15" ht="21" customHeight="1">
      <x:c r="A15" s="2" t="str">
        <x:v>unknown</x:v>
      </x:c>
      <x:c r="B15" s="2" t="str">
        <x:v>단계 미확인</x:v>
      </x:c>
      <x:c r="C15" s="92" t="n">
        <x:f>IF('01_설정'!$B$12="missing","자료 미확보",COUNTIFS('12_신청'!$N$6:$N$105,9,'12_신청'!$L$6:$L$105,1))</x:f>
        <x:v>0</x:v>
      </x:c>
      <x:c r="D15" s="2"/>
      <x:c r="E15" s="2" t="str">
        <x:v>overdue</x:v>
      </x:c>
      <x:c r="F15" s="94" t="n">
        <x:f>IF('01_설정'!$B$12="missing","자료 미확보",SUM('12_신청'!$T$6:$T$105))</x:f>
        <x:v>1</x:v>
      </x:c>
      <x:c r="G15" s="2" t="str">
        <x:v>내부 관리기준 초과</x:v>
      </x:c>
      <x:c r="H15" s="2"/>
      <x:c r="I15" s="2"/>
      <x:c r="J15" s="2"/>
    </x:row>
    <x:row r="16" ht="21" customHeight="1">
      <x:c r="A16" s="2"/>
      <x:c r="B16" s="2"/>
      <x:c r="C16" s="2"/>
      <x:c r="D16" s="2"/>
      <x:c r="E16" s="2" t="str">
        <x:v>completed</x:v>
      </x:c>
      <x:c r="F16" s="94" t="n">
        <x:f>IF('01_설정'!$B$12="missing","자료 미확보",COUNT('12_신청'!$V$6:$V$105))</x:f>
        <x:v>3</x:v>
      </x:c>
      <x:c r="G16" s="2" t="str">
        <x:v>처리 완료 신청</x:v>
      </x:c>
      <x:c r="H16" s="2"/>
      <x:c r="I16" s="2"/>
      <x:c r="J16" s="2"/>
    </x:row>
    <x:row r="17" ht="21" customHeight="1">
      <x:c r="A17" s="2"/>
      <x:c r="B17" s="2"/>
      <x:c r="C17" s="2"/>
      <x:c r="D17" s="2"/>
      <x:c r="E17" s="2" t="str">
        <x:v>median_completed_days</x:v>
      </x:c>
      <x:c r="F17" s="94" t="n">
        <x:f>IF('01_설정'!$B$12="missing","자료 미확보",IF(COUNT('12_신청'!$V$6:$V$105)=0,"산정자료 없음",MEDIAN('12_신청'!$V$6:$V$105)))</x:f>
        <x:v>41</x:v>
      </x:c>
      <x:c r="G17" s="2" t="str">
        <x:v>완료기간 중앙값</x:v>
      </x:c>
      <x:c r="H17" s="2"/>
      <x:c r="I17" s="2"/>
      <x:c r="J17" s="2"/>
    </x:row>
    <x:row r="18" ht="21" customHeight="1">
      <x:c r="A18" s="2"/>
      <x:c r="B18" s="2"/>
      <x:c r="C18" s="2"/>
      <x:c r="D18" s="2"/>
      <x:c r="E18" s="2" t="str">
        <x:v>unknown_stage</x:v>
      </x:c>
      <x:c r="F18" s="94" t="n">
        <x:f>IF('01_설정'!$B$12="missing","자료 미확보",COUNTIFS('12_신청'!$L$6:$L$105,1,'12_신청'!$N$6:$N$105,9))</x:f>
        <x:v>0</x:v>
      </x:c>
      <x:c r="G18" s="2" t="str">
        <x:v>검토단계 미확인</x:v>
      </x:c>
      <x:c r="H18" s="2"/>
      <x:c r="I18" s="2"/>
      <x:c r="J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</x:sheetData>
  <x:mergeCells>
    <x:mergeCell ref="A1:J1"/>
    <x:mergeCell ref="A2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6" hidden="0" customWidth="1"/>
    <x:col min="4" max="4" width="17" hidden="0" customWidth="1"/>
    <x:col min="5" max="5" width="3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32" customHeight="1">
      <x:c r="A1" s="7" t="str">
        <x:v>methodologies | 입력 원장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</x:row>
    <x:row r="2" ht="21" customHeight="1">
      <x:c r="A2" s="15" t="str">
        <x:v>5행 영문 헤더·파란 글씨 열=JSON 교환 입력. 오른쪽 회색 계산열 수정 금지. 새 자료는 준비된 빈 행에 입력; 용량 초과 시 수식 범위 확장 필요.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0" customHeight="1">
      <x:c r="A5" s="33" t="str">
        <x:v>id</x:v>
      </x:c>
      <x:c r="B5" s="33" t="str">
        <x:v>code</x:v>
      </x:c>
      <x:c r="C5" s="33" t="str">
        <x:v>name</x:v>
      </x:c>
      <x:c r="D5" s="33" t="str">
        <x:v>scope</x:v>
      </x:c>
      <x:c r="E5" s="33" t="str">
        <x:v>scope_basis</x:v>
      </x:c>
      <x:c r="F5" s="33" t="str">
        <x:v>official_sector</x:v>
      </x:c>
      <x:c r="G5" s="33" t="str">
        <x:v>technology</x:v>
      </x:c>
      <x:c r="H5" s="33" t="str">
        <x:v>first_registered_on</x:v>
      </x:c>
      <x:c r="I5" s="33" t="str">
        <x:v>registration_confirmed_on</x:v>
      </x:c>
      <x:c r="J5" s="33" t="str">
        <x:v>recorded_on</x:v>
      </x:c>
      <x:c r="K5" s="33" t="str">
        <x:v>source_id</x:v>
      </x:c>
      <x:c r="L5" s="33" t="str">
        <x:v>public_allowed</x:v>
      </x:c>
      <x:c r="M5" s="38" t="str">
        <x:v>집계범위 포함</x:v>
      </x:c>
      <x:c r="N5" s="38" t="str">
        <x:v>등록 집계 포함</x:v>
      </x:c>
      <x:c r="O5" s="38" t="str">
        <x:v>최초등록연도</x:v>
      </x:c>
      <x:c r="P5" s="38" t="str">
        <x:v>최신상태 키</x:v>
      </x:c>
      <x:c r="Q5" s="38" t="str">
        <x:v>적용상태 코드</x:v>
      </x:c>
      <x:c r="R5" s="38" t="str">
        <x:v>적용가능 포함</x:v>
      </x:c>
      <x:c r="S5" s="38" t="str">
        <x:v>등록연도 미확인</x:v>
      </x:c>
      <x:c r="T5" s="38" t="str">
        <x:v>ID 중복</x:v>
      </x:c>
    </x:row>
    <x:row r="6" ht="20" customHeight="1">
      <x:c r="A6" s="22" t="str">
        <x:v>DEMO-M001</x:v>
      </x:c>
      <x:c r="B6" s="22" t="str">
        <x:v>DEMO-001</x:v>
      </x:c>
      <x:c r="C6" s="26" t="str">
        <x:v>[예시] 폐열 회수 방법론</x:v>
      </x:c>
      <x:c r="D6" s="22" t="str">
        <x:v>industry</x:v>
      </x:c>
      <x:c r="E6" s="26" t="str">
        <x:v>합성 데이터의 테스트용 분류</x:v>
      </x:c>
      <x:c r="F6" s="22" t="str">
        <x:v>예시 분야(공식분류 아님)</x:v>
      </x:c>
      <x:c r="G6" s="22" t="str">
        <x:v>효율개선</x:v>
      </x:c>
      <x:c r="H6" s="28" t="n">
        <x:v>43905</x:v>
      </x:c>
      <x:c r="I6" s="28" t="n">
        <x:v>43905</x:v>
      </x:c>
      <x:c r="J6" s="28" t="n">
        <x:v>43905</x:v>
      </x:c>
      <x:c r="K6" s="22" t="str">
        <x:v>DEMO-PUBLIC</x:v>
      </x:c>
      <x:c r="L6" s="30" t="b">
        <x:v>0</x:v>
      </x:c>
      <x:c r="M6" s="12" t="n">
        <x:f>IF(A6="",0,IF('01_설정'!$B$8="all",1,IF('01_설정'!$B$8="industry_transition",IF(OR(D6="industry",D6="transition"),1,0),IF(D6='01_설정'!$B$8,1,0))))</x:f>
        <x:v>1</x:v>
      </x:c>
      <x:c r="N6" s="12" t="n">
        <x:f>IF(A6="",0,IF(AND(M6=1,J6&lt;='01_설정'!$B$7,IF(H6&gt;0,H6,I6)&gt;0,IF(H6&gt;0,H6,I6)&lt;='01_설정'!$B$6),1,0))</x:f>
        <x:v>1</x:v>
      </x:c>
      <x:c r="O6" s="12" t="n">
        <x:f>IF(H6&gt;0,YEAR(H6),0)</x:f>
        <x:v>2020</x:v>
      </x:c>
      <x:c r="P6" s="12" t="n">
        <x:f>IF(A6="",0,_xlfn.MAXIFS('14_적용상태'!$J$6:$J$205,'14_적용상태'!$B$6:$B$205,A6,'14_적용상태'!$I$6:$I$205,1))</x:f>
        <x:v>4390500001</x:v>
      </x:c>
      <x:c r="Q6" s="12" t="n">
        <x:f>IF(P6=0,0,SUMIFS('14_적용상태'!$H$6:$H$205,'14_적용상태'!$J$6:$J$205,P6))</x:f>
        <x:v>1</x:v>
      </x:c>
      <x:c r="R6" s="12" t="n">
        <x:f>IF(AND(N6=1,Q6=1),1,0)</x:f>
        <x:v>1</x:v>
      </x:c>
      <x:c r="S6" s="12" t="n">
        <x:f>IF(AND(N6=1,O6=0),1,0)</x:f>
        <x:v>0</x:v>
      </x:c>
      <x:c r="T6" s="12" t="n">
        <x:f>IF(A6="",0,IF(COUNTIF('10_방법론'!$A$6:$A$105,A6)&gt;1,1,0))</x:f>
        <x:v>0</x:v>
      </x:c>
    </x:row>
    <x:row r="7" ht="20" customHeight="1">
      <x:c r="A7" s="22" t="str">
        <x:v>DEMO-M002</x:v>
      </x:c>
      <x:c r="B7" s="22" t="str">
        <x:v>DEMO-002</x:v>
      </x:c>
      <x:c r="C7" s="26" t="str">
        <x:v>[예시] 공정 효율 개선 방법론</x:v>
      </x:c>
      <x:c r="D7" s="22" t="str">
        <x:v>industry</x:v>
      </x:c>
      <x:c r="E7" s="26" t="str">
        <x:v>합성 데이터의 테스트용 분류</x:v>
      </x:c>
      <x:c r="F7" s="22" t="str">
        <x:v>예시 분야(공식분류 아님)</x:v>
      </x:c>
      <x:c r="G7" s="22" t="str">
        <x:v>연료전환</x:v>
      </x:c>
      <x:c r="H7" s="28" t="n">
        <x:v>44357</x:v>
      </x:c>
      <x:c r="I7" s="28" t="n">
        <x:v>44357</x:v>
      </x:c>
      <x:c r="J7" s="28" t="n">
        <x:v>44357</x:v>
      </x:c>
      <x:c r="K7" s="22" t="str">
        <x:v>DEMO-PUBLIC</x:v>
      </x:c>
      <x:c r="L7" s="30" t="b">
        <x:v>0</x:v>
      </x:c>
      <x:c r="M7" s="12" t="n">
        <x:f>IF(A7="",0,IF('01_설정'!$B$8="all",1,IF('01_설정'!$B$8="industry_transition",IF(OR(D7="industry",D7="transition"),1,0),IF(D7='01_설정'!$B$8,1,0))))</x:f>
        <x:v>1</x:v>
      </x:c>
      <x:c r="N7" s="12" t="n">
        <x:f>IF(A7="",0,IF(AND(M7=1,J7&lt;='01_설정'!$B$7,IF(H7&gt;0,H7,I7)&gt;0,IF(H7&gt;0,H7,I7)&lt;='01_설정'!$B$6),1,0))</x:f>
        <x:v>1</x:v>
      </x:c>
      <x:c r="O7" s="12" t="n">
        <x:f>IF(H7&gt;0,YEAR(H7),0)</x:f>
        <x:v>2021</x:v>
      </x:c>
      <x:c r="P7" s="12" t="n">
        <x:f>IF(A7="",0,_xlfn.MAXIFS('14_적용상태'!$J$6:$J$205,'14_적용상태'!$B$6:$B$205,A7,'14_적용상태'!$I$6:$I$205,1))</x:f>
        <x:v>4435700002</x:v>
      </x:c>
      <x:c r="Q7" s="12" t="n">
        <x:f>IF(P7=0,0,SUMIFS('14_적용상태'!$H$6:$H$205,'14_적용상태'!$J$6:$J$205,P7))</x:f>
        <x:v>1</x:v>
      </x:c>
      <x:c r="R7" s="12" t="n">
        <x:f>IF(AND(N7=1,Q7=1),1,0)</x:f>
        <x:v>1</x:v>
      </x:c>
      <x:c r="S7" s="12" t="n">
        <x:f>IF(AND(N7=1,O7=0),1,0)</x:f>
        <x:v>0</x:v>
      </x:c>
      <x:c r="T7" s="12" t="n">
        <x:f>IF(A7="",0,IF(COUNTIF('10_방법론'!$A$6:$A$105,A7)&gt;1,1,0))</x:f>
        <x:v>0</x:v>
      </x:c>
    </x:row>
    <x:row r="8" ht="20" customHeight="1">
      <x:c r="A8" s="22" t="str">
        <x:v>DEMO-M003</x:v>
      </x:c>
      <x:c r="B8" s="22" t="str">
        <x:v>DEMO-003</x:v>
      </x:c>
      <x:c r="C8" s="26" t="str">
        <x:v>[예시] 연료 전환 방법론</x:v>
      </x:c>
      <x:c r="D8" s="22" t="str">
        <x:v>industry</x:v>
      </x:c>
      <x:c r="E8" s="26" t="str">
        <x:v>합성 데이터의 테스트용 분류</x:v>
      </x:c>
      <x:c r="F8" s="22" t="str">
        <x:v>예시 분야(공식분류 아님)</x:v>
      </x:c>
      <x:c r="G8" s="22" t="str">
        <x:v>공정가스</x:v>
      </x:c>
      <x:c r="H8" s="28" t="n">
        <x:v>44805</x:v>
      </x:c>
      <x:c r="I8" s="28" t="n">
        <x:v>44805</x:v>
      </x:c>
      <x:c r="J8" s="28" t="n">
        <x:v>44805</x:v>
      </x:c>
      <x:c r="K8" s="22" t="str">
        <x:v>DEMO-PUBLIC</x:v>
      </x:c>
      <x:c r="L8" s="30" t="b">
        <x:v>0</x:v>
      </x:c>
      <x:c r="M8" s="12" t="n">
        <x:f>IF(A8="",0,IF('01_설정'!$B$8="all",1,IF('01_설정'!$B$8="industry_transition",IF(OR(D8="industry",D8="transition"),1,0),IF(D8='01_설정'!$B$8,1,0))))</x:f>
        <x:v>1</x:v>
      </x:c>
      <x:c r="N8" s="12" t="n">
        <x:f>IF(A8="",0,IF(AND(M8=1,J8&lt;='01_설정'!$B$7,IF(H8&gt;0,H8,I8)&gt;0,IF(H8&gt;0,H8,I8)&lt;='01_설정'!$B$6),1,0))</x:f>
        <x:v>1</x:v>
      </x:c>
      <x:c r="O8" s="12" t="n">
        <x:f>IF(H8&gt;0,YEAR(H8),0)</x:f>
        <x:v>2022</x:v>
      </x:c>
      <x:c r="P8" s="12" t="n">
        <x:f>IF(A8="",0,_xlfn.MAXIFS('14_적용상태'!$J$6:$J$205,'14_적용상태'!$B$6:$B$205,A8,'14_적용상태'!$I$6:$I$205,1))</x:f>
        <x:v>4623500099</x:v>
      </x:c>
      <x:c r="Q8" s="12" t="n">
        <x:f>IF(P8=0,0,SUMIFS('14_적용상태'!$H$6:$H$205,'14_적용상태'!$J$6:$J$205,P8))</x:f>
        <x:v>2</x:v>
      </x:c>
      <x:c r="R8" s="12" t="n">
        <x:f>IF(AND(N8=1,Q8=1),1,0)</x:f>
        <x:v>0</x:v>
      </x:c>
      <x:c r="S8" s="12" t="n">
        <x:f>IF(AND(N8=1,O8=0),1,0)</x:f>
        <x:v>0</x:v>
      </x:c>
      <x:c r="T8" s="12" t="n">
        <x:f>IF(A8="",0,IF(COUNTIF('10_방법론'!$A$6:$A$105,A8)&gt;1,1,0))</x:f>
        <x:v>0</x:v>
      </x:c>
    </x:row>
    <x:row r="9" ht="20" customHeight="1">
      <x:c r="A9" s="22" t="str">
        <x:v>DEMO-M004</x:v>
      </x:c>
      <x:c r="B9" s="22" t="str">
        <x:v>DEMO-004</x:v>
      </x:c>
      <x:c r="C9" s="26" t="str">
        <x:v>[예시] 공정가스 처리 방법론</x:v>
      </x:c>
      <x:c r="D9" s="22" t="str">
        <x:v>industry</x:v>
      </x:c>
      <x:c r="E9" s="26" t="str">
        <x:v>합성 데이터의 테스트용 분류</x:v>
      </x:c>
      <x:c r="F9" s="22" t="str">
        <x:v>예시 분야(공식분류 아님)</x:v>
      </x:c>
      <x:c r="G9" s="22" t="str">
        <x:v>폐열활용</x:v>
      </x:c>
      <x:c r="H9" s="28" t="n">
        <x:v>45023</x:v>
      </x:c>
      <x:c r="I9" s="28" t="n">
        <x:v>45023</x:v>
      </x:c>
      <x:c r="J9" s="28" t="n">
        <x:v>45023</x:v>
      </x:c>
      <x:c r="K9" s="22" t="str">
        <x:v>DEMO-PUBLIC</x:v>
      </x:c>
      <x:c r="L9" s="30" t="b">
        <x:v>0</x:v>
      </x:c>
      <x:c r="M9" s="12" t="n">
        <x:f>IF(A9="",0,IF('01_설정'!$B$8="all",1,IF('01_설정'!$B$8="industry_transition",IF(OR(D9="industry",D9="transition"),1,0),IF(D9='01_설정'!$B$8,1,0))))</x:f>
        <x:v>1</x:v>
      </x:c>
      <x:c r="N9" s="12" t="n">
        <x:f>IF(A9="",0,IF(AND(M9=1,J9&lt;='01_설정'!$B$7,IF(H9&gt;0,H9,I9)&gt;0,IF(H9&gt;0,H9,I9)&lt;='01_설정'!$B$6),1,0))</x:f>
        <x:v>1</x:v>
      </x:c>
      <x:c r="O9" s="12" t="n">
        <x:f>IF(H9&gt;0,YEAR(H9),0)</x:f>
        <x:v>2023</x:v>
      </x:c>
      <x:c r="P9" s="12" t="n">
        <x:f>IF(A9="",0,_xlfn.MAXIFS('14_적용상태'!$J$6:$J$205,'14_적용상태'!$B$6:$B$205,A9,'14_적용상태'!$I$6:$I$205,1))</x:f>
        <x:v>4502300004</x:v>
      </x:c>
      <x:c r="Q9" s="12" t="n">
        <x:f>IF(P9=0,0,SUMIFS('14_적용상태'!$H$6:$H$205,'14_적용상태'!$J$6:$J$205,P9))</x:f>
        <x:v>1</x:v>
      </x:c>
      <x:c r="R9" s="12" t="n">
        <x:f>IF(AND(N9=1,Q9=1),1,0)</x:f>
        <x:v>1</x:v>
      </x:c>
      <x:c r="S9" s="12" t="n">
        <x:f>IF(AND(N9=1,O9=0),1,0)</x:f>
        <x:v>0</x:v>
      </x:c>
      <x:c r="T9" s="12" t="n">
        <x:f>IF(A9="",0,IF(COUNTIF('10_방법론'!$A$6:$A$105,A9)&gt;1,1,0))</x:f>
        <x:v>0</x:v>
      </x:c>
    </x:row>
    <x:row r="10" ht="20" customHeight="1">
      <x:c r="A10" s="22" t="str">
        <x:v>DEMO-M005</x:v>
      </x:c>
      <x:c r="B10" s="22" t="str">
        <x:v>DEMO-005</x:v>
      </x:c>
      <x:c r="C10" s="26" t="str">
        <x:v>[예시] 전동기 효율 향상 방법론</x:v>
      </x:c>
      <x:c r="D10" s="22" t="str">
        <x:v>industry</x:v>
      </x:c>
      <x:c r="E10" s="26" t="str">
        <x:v>합성 데이터의 테스트용 분류</x:v>
      </x:c>
      <x:c r="F10" s="22" t="str">
        <x:v>예시 분야(공식분류 아님)</x:v>
      </x:c>
      <x:c r="G10" s="22" t="str">
        <x:v>효율개선</x:v>
      </x:c>
      <x:c r="H10" s="28" t="n">
        <x:v>45310</x:v>
      </x:c>
      <x:c r="I10" s="28" t="n">
        <x:v>45310</x:v>
      </x:c>
      <x:c r="J10" s="28" t="n">
        <x:v>45310</x:v>
      </x:c>
      <x:c r="K10" s="22" t="str">
        <x:v>DEMO-PUBLIC</x:v>
      </x:c>
      <x:c r="L10" s="30" t="b">
        <x:v>0</x:v>
      </x:c>
      <x:c r="M10" s="12" t="n">
        <x:f>IF(A10="",0,IF('01_설정'!$B$8="all",1,IF('01_설정'!$B$8="industry_transition",IF(OR(D10="industry",D10="transition"),1,0),IF(D10='01_설정'!$B$8,1,0))))</x:f>
        <x:v>1</x:v>
      </x:c>
      <x:c r="N10" s="12" t="n">
        <x:f>IF(A10="",0,IF(AND(M10=1,J10&lt;='01_설정'!$B$7,IF(H10&gt;0,H10,I10)&gt;0,IF(H10&gt;0,H10,I10)&lt;='01_설정'!$B$6),1,0))</x:f>
        <x:v>1</x:v>
      </x:c>
      <x:c r="O10" s="12" t="n">
        <x:f>IF(H10&gt;0,YEAR(H10),0)</x:f>
        <x:v>2024</x:v>
      </x:c>
      <x:c r="P10" s="12" t="n">
        <x:f>IF(A10="",0,_xlfn.MAXIFS('14_적용상태'!$J$6:$J$205,'14_적용상태'!$B$6:$B$205,A10,'14_적용상태'!$I$6:$I$205,1))</x:f>
        <x:v>4531000005</x:v>
      </x:c>
      <x:c r="Q10" s="12" t="n">
        <x:f>IF(P10=0,0,SUMIFS('14_적용상태'!$H$6:$H$205,'14_적용상태'!$J$6:$J$205,P10))</x:f>
        <x:v>1</x:v>
      </x:c>
      <x:c r="R10" s="12" t="n">
        <x:f>IF(AND(N10=1,Q10=1),1,0)</x:f>
        <x:v>1</x:v>
      </x:c>
      <x:c r="S10" s="12" t="n">
        <x:f>IF(AND(N10=1,O10=0),1,0)</x:f>
        <x:v>0</x:v>
      </x:c>
      <x:c r="T10" s="12" t="n">
        <x:f>IF(A10="",0,IF(COUNTIF('10_방법론'!$A$6:$A$105,A10)&gt;1,1,0))</x:f>
        <x:v>0</x:v>
      </x:c>
    </x:row>
    <x:row r="11" ht="20" customHeight="1">
      <x:c r="A11" s="22" t="str">
        <x:v>DEMO-M006</x:v>
      </x:c>
      <x:c r="B11" s="22" t="str">
        <x:v>DEMO-006</x:v>
      </x:c>
      <x:c r="C11" s="26" t="str">
        <x:v>[예시] 열 공급 최적화 방법론</x:v>
      </x:c>
      <x:c r="D11" s="22" t="str">
        <x:v>industry</x:v>
      </x:c>
      <x:c r="E11" s="26" t="str">
        <x:v>합성 데이터의 테스트용 분류</x:v>
      </x:c>
      <x:c r="F11" s="22" t="str">
        <x:v>예시 분야(공식분류 아님)</x:v>
      </x:c>
      <x:c r="G11" s="22" t="str">
        <x:v>연료전환</x:v>
      </x:c>
      <x:c r="H11" s="28" t="n">
        <x:v>45860</x:v>
      </x:c>
      <x:c r="I11" s="28" t="n">
        <x:v>45860</x:v>
      </x:c>
      <x:c r="J11" s="28" t="n">
        <x:v>45860</x:v>
      </x:c>
      <x:c r="K11" s="22" t="str">
        <x:v>DEMO-PUBLIC</x:v>
      </x:c>
      <x:c r="L11" s="30" t="b">
        <x:v>0</x:v>
      </x:c>
      <x:c r="M11" s="12" t="n">
        <x:f>IF(A11="",0,IF('01_설정'!$B$8="all",1,IF('01_설정'!$B$8="industry_transition",IF(OR(D11="industry",D11="transition"),1,0),IF(D11='01_설정'!$B$8,1,0))))</x:f>
        <x:v>1</x:v>
      </x:c>
      <x:c r="N11" s="12" t="n">
        <x:f>IF(A11="",0,IF(AND(M11=1,J11&lt;='01_설정'!$B$7,IF(H11&gt;0,H11,I11)&gt;0,IF(H11&gt;0,H11,I11)&lt;='01_설정'!$B$6),1,0))</x:f>
        <x:v>1</x:v>
      </x:c>
      <x:c r="O11" s="12" t="n">
        <x:f>IF(H11&gt;0,YEAR(H11),0)</x:f>
        <x:v>2025</x:v>
      </x:c>
      <x:c r="P11" s="12" t="n">
        <x:f>IF(A11="",0,_xlfn.MAXIFS('14_적용상태'!$J$6:$J$205,'14_적용상태'!$B$6:$B$205,A11,'14_적용상태'!$I$6:$I$205,1))</x:f>
        <x:v>4586000006</x:v>
      </x:c>
      <x:c r="Q11" s="12" t="n">
        <x:f>IF(P11=0,0,SUMIFS('14_적용상태'!$H$6:$H$205,'14_적용상태'!$J$6:$J$205,P11))</x:f>
        <x:v>1</x:v>
      </x:c>
      <x:c r="R11" s="12" t="n">
        <x:f>IF(AND(N11=1,Q11=1),1,0)</x:f>
        <x:v>1</x:v>
      </x:c>
      <x:c r="S11" s="12" t="n">
        <x:f>IF(AND(N11=1,O11=0),1,0)</x:f>
        <x:v>0</x:v>
      </x:c>
      <x:c r="T11" s="12" t="n">
        <x:f>IF(A11="",0,IF(COUNTIF('10_방법론'!$A$6:$A$105,A11)&gt;1,1,0))</x:f>
        <x:v>0</x:v>
      </x:c>
    </x:row>
    <x:row r="12" ht="20" customHeight="1">
      <x:c r="A12" s="22" t="str">
        <x:v>DEMO-M007</x:v>
      </x:c>
      <x:c r="B12" s="22" t="str">
        <x:v>DEMO-007</x:v>
      </x:c>
      <x:c r="C12" s="26" t="str">
        <x:v>[예시] 산업 냉동설비 개선 방법론</x:v>
      </x:c>
      <x:c r="D12" s="22" t="str">
        <x:v>industry</x:v>
      </x:c>
      <x:c r="E12" s="26" t="str">
        <x:v>합성 데이터의 테스트용 분류</x:v>
      </x:c>
      <x:c r="F12" s="22" t="str">
        <x:v>예시 분야(공식분류 아님)</x:v>
      </x:c>
      <x:c r="G12" s="22" t="str">
        <x:v>공정가스</x:v>
      </x:c>
      <x:c r="H12" s="28" t="n">
        <x:v>46065</x:v>
      </x:c>
      <x:c r="I12" s="28" t="n">
        <x:v>46065</x:v>
      </x:c>
      <x:c r="J12" s="28" t="n">
        <x:v>46065</x:v>
      </x:c>
      <x:c r="K12" s="22" t="str">
        <x:v>DEMO-PUBLIC</x:v>
      </x:c>
      <x:c r="L12" s="30" t="b">
        <x:v>0</x:v>
      </x:c>
      <x:c r="M12" s="12" t="n">
        <x:f>IF(A12="",0,IF('01_설정'!$B$8="all",1,IF('01_설정'!$B$8="industry_transition",IF(OR(D12="industry",D12="transition"),1,0),IF(D12='01_설정'!$B$8,1,0))))</x:f>
        <x:v>1</x:v>
      </x:c>
      <x:c r="N12" s="12" t="n">
        <x:f>IF(A12="",0,IF(AND(M12=1,J12&lt;='01_설정'!$B$7,IF(H12&gt;0,H12,I12)&gt;0,IF(H12&gt;0,H12,I12)&lt;='01_설정'!$B$6),1,0))</x:f>
        <x:v>1</x:v>
      </x:c>
      <x:c r="O12" s="12" t="n">
        <x:f>IF(H12&gt;0,YEAR(H12),0)</x:f>
        <x:v>2026</x:v>
      </x:c>
      <x:c r="P12" s="12" t="n">
        <x:f>IF(A12="",0,_xlfn.MAXIFS('14_적용상태'!$J$6:$J$205,'14_적용상태'!$B$6:$B$205,A12,'14_적용상태'!$I$6:$I$205,1))</x:f>
        <x:v>4606500007</x:v>
      </x:c>
      <x:c r="Q12" s="12" t="n">
        <x:f>IF(P12=0,0,SUMIFS('14_적용상태'!$H$6:$H$205,'14_적용상태'!$J$6:$J$205,P12))</x:f>
        <x:v>1</x:v>
      </x:c>
      <x:c r="R12" s="12" t="n">
        <x:f>IF(AND(N12=1,Q12=1),1,0)</x:f>
        <x:v>1</x:v>
      </x:c>
      <x:c r="S12" s="12" t="n">
        <x:f>IF(AND(N12=1,O12=0),1,0)</x:f>
        <x:v>0</x:v>
      </x:c>
      <x:c r="T12" s="12" t="n">
        <x:f>IF(A12="",0,IF(COUNTIF('10_방법론'!$A$6:$A$105,A12)&gt;1,1,0))</x:f>
        <x:v>0</x:v>
      </x:c>
    </x:row>
    <x:row r="13" ht="20" customHeight="1">
      <x:c r="A13" s="22" t="str">
        <x:v>DEMO-M008</x:v>
      </x:c>
      <x:c r="B13" s="22" t="str">
        <x:v>DEMO-008</x:v>
      </x:c>
      <x:c r="C13" s="26" t="str">
        <x:v>[예시] 저탄소 원료 방법론</x:v>
      </x:c>
      <x:c r="D13" s="22" t="str">
        <x:v>industry</x:v>
      </x:c>
      <x:c r="E13" s="26" t="str">
        <x:v>합성 데이터의 테스트용 분류</x:v>
      </x:c>
      <x:c r="F13" s="22" t="str">
        <x:v>예시 분야(공식분류 아님)</x:v>
      </x:c>
      <x:c r="G13" s="22" t="str">
        <x:v>폐열활용</x:v>
      </x:c>
      <x:c r="H13" s="28"/>
      <x:c r="I13" s="28" t="n">
        <x:v>46235</x:v>
      </x:c>
      <x:c r="J13" s="28" t="n">
        <x:v>46235</x:v>
      </x:c>
      <x:c r="K13" s="22" t="str">
        <x:v>DEMO-PUBLIC</x:v>
      </x:c>
      <x:c r="L13" s="30" t="b">
        <x:v>0</x:v>
      </x:c>
      <x:c r="M13" s="12" t="n">
        <x:f>IF(A13="",0,IF('01_설정'!$B$8="all",1,IF('01_설정'!$B$8="industry_transition",IF(OR(D13="industry",D13="transition"),1,0),IF(D13='01_설정'!$B$8,1,0))))</x:f>
        <x:v>1</x:v>
      </x:c>
      <x:c r="N13" s="12" t="n">
        <x:f>IF(A13="",0,IF(AND(M13=1,J13&lt;='01_설정'!$B$7,IF(H13&gt;0,H13,I13)&gt;0,IF(H13&gt;0,H13,I13)&lt;='01_설정'!$B$6),1,0))</x:f>
        <x:v>1</x:v>
      </x:c>
      <x:c r="O13" s="12" t="n">
        <x:f>IF(H13&gt;0,YEAR(H13),0)</x:f>
        <x:v>0</x:v>
      </x:c>
      <x:c r="P13" s="12" t="n">
        <x:f>IF(A13="",0,_xlfn.MAXIFS('14_적용상태'!$J$6:$J$205,'14_적용상태'!$B$6:$B$205,A13,'14_적용상태'!$I$6:$I$205,1))</x:f>
        <x:v>4623500008</x:v>
      </x:c>
      <x:c r="Q13" s="12" t="n">
        <x:f>IF(P13=0,0,SUMIFS('14_적용상태'!$H$6:$H$205,'14_적용상태'!$J$6:$J$205,P13))</x:f>
        <x:v>0</x:v>
      </x:c>
      <x:c r="R13" s="12" t="n">
        <x:f>IF(AND(N13=1,Q13=1),1,0)</x:f>
        <x:v>0</x:v>
      </x:c>
      <x:c r="S13" s="12" t="n">
        <x:f>IF(AND(N13=1,O13=0),1,0)</x:f>
        <x:v>1</x:v>
      </x:c>
      <x:c r="T13" s="12" t="n">
        <x:f>IF(A13="",0,IF(COUNTIF('10_방법론'!$A$6:$A$105,A13)&gt;1,1,0))</x:f>
        <x:v>0</x:v>
      </x:c>
    </x:row>
    <x:row r="14" ht="20" customHeight="1">
      <x:c r="A14" s="22" t="str">
        <x:v>DEMO-M009</x:v>
      </x:c>
      <x:c r="B14" s="22" t="str">
        <x:v>DEMO-009</x:v>
      </x:c>
      <x:c r="C14" s="26" t="str">
        <x:v>[예시] 재생에너지 자가소비 방법론</x:v>
      </x:c>
      <x:c r="D14" s="22" t="str">
        <x:v>transition</x:v>
      </x:c>
      <x:c r="E14" s="26" t="str">
        <x:v>합성 데이터의 테스트용 분류</x:v>
      </x:c>
      <x:c r="F14" s="22" t="str">
        <x:v>예시 분야(공식분류 아님)</x:v>
      </x:c>
      <x:c r="G14" s="22" t="str">
        <x:v>효율개선</x:v>
      </x:c>
      <x:c r="H14" s="28" t="n">
        <x:v>45052</x:v>
      </x:c>
      <x:c r="I14" s="28" t="n">
        <x:v>45052</x:v>
      </x:c>
      <x:c r="J14" s="28" t="n">
        <x:v>45052</x:v>
      </x:c>
      <x:c r="K14" s="22" t="str">
        <x:v>DEMO-PUBLIC</x:v>
      </x:c>
      <x:c r="L14" s="30" t="b">
        <x:v>0</x:v>
      </x:c>
      <x:c r="M14" s="12" t="n">
        <x:f>IF(A14="",0,IF('01_설정'!$B$8="all",1,IF('01_설정'!$B$8="industry_transition",IF(OR(D14="industry",D14="transition"),1,0),IF(D14='01_설정'!$B$8,1,0))))</x:f>
        <x:v>0</x:v>
      </x:c>
      <x:c r="N14" s="12" t="n">
        <x:f>IF(A14="",0,IF(AND(M14=1,J14&lt;='01_설정'!$B$7,IF(H14&gt;0,H14,I14)&gt;0,IF(H14&gt;0,H14,I14)&lt;='01_설정'!$B$6),1,0))</x:f>
        <x:v>0</x:v>
      </x:c>
      <x:c r="O14" s="12" t="n">
        <x:f>IF(H14&gt;0,YEAR(H14),0)</x:f>
        <x:v>2023</x:v>
      </x:c>
      <x:c r="P14" s="12" t="n">
        <x:f>IF(A14="",0,_xlfn.MAXIFS('14_적용상태'!$J$6:$J$205,'14_적용상태'!$B$6:$B$205,A14,'14_적용상태'!$I$6:$I$205,1))</x:f>
        <x:v>4505200009</x:v>
      </x:c>
      <x:c r="Q14" s="12" t="n">
        <x:f>IF(P14=0,0,SUMIFS('14_적용상태'!$H$6:$H$205,'14_적용상태'!$J$6:$J$205,P14))</x:f>
        <x:v>1</x:v>
      </x:c>
      <x:c r="R14" s="12" t="n">
        <x:f>IF(AND(N14=1,Q14=1),1,0)</x:f>
        <x:v>0</x:v>
      </x:c>
      <x:c r="S14" s="12" t="n">
        <x:f>IF(AND(N14=1,O14=0),1,0)</x:f>
        <x:v>0</x:v>
      </x:c>
      <x:c r="T14" s="12" t="n">
        <x:f>IF(A14="",0,IF(COUNTIF('10_방법론'!$A$6:$A$105,A14)&gt;1,1,0))</x:f>
        <x:v>0</x:v>
      </x:c>
    </x:row>
    <x:row r="15" ht="20" customHeight="1">
      <x:c r="A15" s="22" t="str">
        <x:v>DEMO-M010</x:v>
      </x:c>
      <x:c r="B15" s="22" t="str">
        <x:v>DEMO-010</x:v>
      </x:c>
      <x:c r="C15" s="26" t="str">
        <x:v>[예시] 폐기물 자원화 방법론</x:v>
      </x:c>
      <x:c r="D15" s="22" t="str">
        <x:v>other</x:v>
      </x:c>
      <x:c r="E15" s="26" t="str">
        <x:v>합성 데이터의 테스트용 분류</x:v>
      </x:c>
      <x:c r="F15" s="22" t="str">
        <x:v>예시 분야(공식분류 아님)</x:v>
      </x:c>
      <x:c r="G15" s="22" t="str">
        <x:v>연료전환</x:v>
      </x:c>
      <x:c r="H15" s="28" t="n">
        <x:v>45476</x:v>
      </x:c>
      <x:c r="I15" s="28" t="n">
        <x:v>45476</x:v>
      </x:c>
      <x:c r="J15" s="28" t="n">
        <x:v>45476</x:v>
      </x:c>
      <x:c r="K15" s="22" t="str">
        <x:v>DEMO-PUBLIC</x:v>
      </x:c>
      <x:c r="L15" s="30" t="b">
        <x:v>0</x:v>
      </x:c>
      <x:c r="M15" s="12" t="n">
        <x:f>IF(A15="",0,IF('01_설정'!$B$8="all",1,IF('01_설정'!$B$8="industry_transition",IF(OR(D15="industry",D15="transition"),1,0),IF(D15='01_설정'!$B$8,1,0))))</x:f>
        <x:v>0</x:v>
      </x:c>
      <x:c r="N15" s="12" t="n">
        <x:f>IF(A15="",0,IF(AND(M15=1,J15&lt;='01_설정'!$B$7,IF(H15&gt;0,H15,I15)&gt;0,IF(H15&gt;0,H15,I15)&lt;='01_설정'!$B$6),1,0))</x:f>
        <x:v>0</x:v>
      </x:c>
      <x:c r="O15" s="12" t="n">
        <x:f>IF(H15&gt;0,YEAR(H15),0)</x:f>
        <x:v>2024</x:v>
      </x:c>
      <x:c r="P15" s="12" t="n">
        <x:f>IF(A15="",0,_xlfn.MAXIFS('14_적용상태'!$J$6:$J$205,'14_적용상태'!$B$6:$B$205,A15,'14_적용상태'!$I$6:$I$205,1))</x:f>
        <x:v>4547600010</x:v>
      </x:c>
      <x:c r="Q15" s="12" t="n">
        <x:f>IF(P15=0,0,SUMIFS('14_적용상태'!$H$6:$H$205,'14_적용상태'!$J$6:$J$205,P15))</x:f>
        <x:v>1</x:v>
      </x:c>
      <x:c r="R15" s="12" t="n">
        <x:f>IF(AND(N15=1,Q15=1),1,0)</x:f>
        <x:v>0</x:v>
      </x:c>
      <x:c r="S15" s="12" t="n">
        <x:f>IF(AND(N15=1,O15=0),1,0)</x:f>
        <x:v>0</x:v>
      </x:c>
      <x:c r="T15" s="12" t="n">
        <x:f>IF(A15="",0,IF(COUNTIF('10_방법론'!$A$6:$A$105,A15)&gt;1,1,0))</x:f>
        <x:v>0</x:v>
      </x:c>
    </x:row>
    <x:row r="16" ht="20" customHeight="1">
      <x:c r="A16" s="22" t="str">
        <x:v>DEMO-M011</x:v>
      </x:c>
      <x:c r="B16" s="22" t="str">
        <x:v>DEMO-011</x:v>
      </x:c>
      <x:c r="C16" s="26" t="str">
        <x:v>[예시] 분류 검토 대상 방법론</x:v>
      </x:c>
      <x:c r="D16" s="22" t="str">
        <x:v>unclassified</x:v>
      </x:c>
      <x:c r="E16" s="26" t="str">
        <x:v>합성 데이터의 테스트용 분류</x:v>
      </x:c>
      <x:c r="F16" s="22" t="str">
        <x:v>예시 분야(공식분류 아님)</x:v>
      </x:c>
      <x:c r="G16" s="22" t="str">
        <x:v>공정가스</x:v>
      </x:c>
      <x:c r="H16" s="28" t="n">
        <x:v>45755</x:v>
      </x:c>
      <x:c r="I16" s="28" t="n">
        <x:v>45755</x:v>
      </x:c>
      <x:c r="J16" s="28" t="n">
        <x:v>45755</x:v>
      </x:c>
      <x:c r="K16" s="22" t="str">
        <x:v>DEMO-PUBLIC</x:v>
      </x:c>
      <x:c r="L16" s="30" t="b">
        <x:v>0</x:v>
      </x:c>
      <x:c r="M16" s="12" t="n">
        <x:f>IF(A16="",0,IF('01_설정'!$B$8="all",1,IF('01_설정'!$B$8="industry_transition",IF(OR(D16="industry",D16="transition"),1,0),IF(D16='01_설정'!$B$8,1,0))))</x:f>
        <x:v>0</x:v>
      </x:c>
      <x:c r="N16" s="12" t="n">
        <x:f>IF(A16="",0,IF(AND(M16=1,J16&lt;='01_설정'!$B$7,IF(H16&gt;0,H16,I16)&gt;0,IF(H16&gt;0,H16,I16)&lt;='01_설정'!$B$6),1,0))</x:f>
        <x:v>0</x:v>
      </x:c>
      <x:c r="O16" s="12" t="n">
        <x:f>IF(H16&gt;0,YEAR(H16),0)</x:f>
        <x:v>2025</x:v>
      </x:c>
      <x:c r="P16" s="12" t="n">
        <x:f>IF(A16="",0,_xlfn.MAXIFS('14_적용상태'!$J$6:$J$205,'14_적용상태'!$B$6:$B$205,A16,'14_적용상태'!$I$6:$I$205,1))</x:f>
        <x:v>4575500011</x:v>
      </x:c>
      <x:c r="Q16" s="12" t="n">
        <x:f>IF(P16=0,0,SUMIFS('14_적용상태'!$H$6:$H$205,'14_적용상태'!$J$6:$J$205,P16))</x:f>
        <x:v>1</x:v>
      </x:c>
      <x:c r="R16" s="12" t="n">
        <x:f>IF(AND(N16=1,Q16=1),1,0)</x:f>
        <x:v>0</x:v>
      </x:c>
      <x:c r="S16" s="12" t="n">
        <x:f>IF(AND(N16=1,O16=0),1,0)</x:f>
        <x:v>0</x:v>
      </x:c>
      <x:c r="T16" s="12" t="n">
        <x:f>IF(A16="",0,IF(COUNTIF('10_방법론'!$A$6:$A$105,A16)&gt;1,1,0))</x:f>
        <x:v>0</x:v>
      </x:c>
    </x:row>
    <x:row r="17" ht="20" customHeight="1">
      <x:c r="A17" s="22" t="str">
        <x:v>DEMO-M012</x:v>
      </x:c>
      <x:c r="B17" s="22" t="str">
        <x:v>DEMO-012</x:v>
      </x:c>
      <x:c r="C17" s="26" t="str">
        <x:v>[예시] 고효율 건조 방법론</x:v>
      </x:c>
      <x:c r="D17" s="22" t="str">
        <x:v>industry</x:v>
      </x:c>
      <x:c r="E17" s="26" t="str">
        <x:v>합성 데이터의 테스트용 분류</x:v>
      </x:c>
      <x:c r="F17" s="22" t="str">
        <x:v>예시 분야(공식분류 아님)</x:v>
      </x:c>
      <x:c r="G17" s="22" t="str">
        <x:v>폐열활용</x:v>
      </x:c>
      <x:c r="H17" s="28" t="n">
        <x:v>46266</x:v>
      </x:c>
      <x:c r="I17" s="28" t="n">
        <x:v>46266</x:v>
      </x:c>
      <x:c r="J17" s="28" t="n">
        <x:v>46266</x:v>
      </x:c>
      <x:c r="K17" s="22" t="str">
        <x:v>DEMO-PUBLIC</x:v>
      </x:c>
      <x:c r="L17" s="30" t="b">
        <x:v>0</x:v>
      </x:c>
      <x:c r="M17" s="12" t="n">
        <x:f>IF(A17="",0,IF('01_설정'!$B$8="all",1,IF('01_설정'!$B$8="industry_transition",IF(OR(D17="industry",D17="transition"),1,0),IF(D17='01_설정'!$B$8,1,0))))</x:f>
        <x:v>1</x:v>
      </x:c>
      <x:c r="N17" s="12" t="n">
        <x:f>IF(A17="",0,IF(AND(M17=1,J17&lt;='01_설정'!$B$7,IF(H17&gt;0,H17,I17)&gt;0,IF(H17&gt;0,H17,I17)&lt;='01_설정'!$B$6),1,0))</x:f>
        <x:v>1</x:v>
      </x:c>
      <x:c r="O17" s="12" t="n">
        <x:f>IF(H17&gt;0,YEAR(H17),0)</x:f>
        <x:v>2026</x:v>
      </x:c>
      <x:c r="P17" s="12" t="n">
        <x:f>IF(A17="",0,_xlfn.MAXIFS('14_적용상태'!$J$6:$J$205,'14_적용상태'!$B$6:$B$205,A17,'14_적용상태'!$I$6:$I$205,1))</x:f>
        <x:v>4626600012</x:v>
      </x:c>
      <x:c r="Q17" s="12" t="n">
        <x:f>IF(P17=0,0,SUMIFS('14_적용상태'!$H$6:$H$205,'14_적용상태'!$J$6:$J$205,P17))</x:f>
        <x:v>1</x:v>
      </x:c>
      <x:c r="R17" s="12" t="n">
        <x:f>IF(AND(N17=1,Q17=1),1,0)</x:f>
        <x:v>1</x:v>
      </x:c>
      <x:c r="S17" s="12" t="n">
        <x:f>IF(AND(N17=1,O17=0),1,0)</x:f>
        <x:v>0</x:v>
      </x:c>
      <x:c r="T17" s="12" t="n">
        <x:f>IF(A17="",0,IF(COUNTIF('10_방법론'!$A$6:$A$105,A17)&gt;1,1,0))</x:f>
        <x:v>0</x:v>
      </x:c>
    </x:row>
    <x:row r="18" ht="20" customHeight="1">
      <x:c r="A18" s="22"/>
      <x:c r="B18" s="22"/>
      <x:c r="C18" s="26"/>
      <x:c r="D18" s="22"/>
      <x:c r="E18" s="26"/>
      <x:c r="F18" s="22"/>
      <x:c r="G18" s="22"/>
      <x:c r="H18" s="28"/>
      <x:c r="I18" s="28"/>
      <x:c r="J18" s="28"/>
      <x:c r="K18" s="22"/>
      <x:c r="L18" s="22"/>
      <x:c r="M18" s="12" t="n">
        <x:f>IF(A18="",0,IF('01_설정'!$B$8="all",1,IF('01_설정'!$B$8="industry_transition",IF(OR(D18="industry",D18="transition"),1,0),IF(D18='01_설정'!$B$8,1,0))))</x:f>
        <x:v>0</x:v>
      </x:c>
      <x:c r="N18" s="12" t="n">
        <x:f>IF(A18="",0,IF(AND(M18=1,J18&lt;='01_설정'!$B$7,IF(H18&gt;0,H18,I18)&gt;0,IF(H18&gt;0,H18,I18)&lt;='01_설정'!$B$6),1,0))</x:f>
        <x:v>0</x:v>
      </x:c>
      <x:c r="O18" s="12" t="n">
        <x:f>IF(H18&gt;0,YEAR(H18),0)</x:f>
        <x:v>0</x:v>
      </x:c>
      <x:c r="P18" s="12" t="n">
        <x:f>IF(A18="",0,_xlfn.MAXIFS('14_적용상태'!$J$6:$J$205,'14_적용상태'!$B$6:$B$205,A18,'14_적용상태'!$I$6:$I$205,1))</x:f>
        <x:v>0</x:v>
      </x:c>
      <x:c r="Q18" s="12" t="n">
        <x:f>IF(P18=0,0,SUMIFS('14_적용상태'!$H$6:$H$205,'14_적용상태'!$J$6:$J$205,P18))</x:f>
        <x:v>0</x:v>
      </x:c>
      <x:c r="R18" s="12" t="n">
        <x:f>IF(AND(N18=1,Q18=1),1,0)</x:f>
        <x:v>0</x:v>
      </x:c>
      <x:c r="S18" s="12" t="n">
        <x:f>IF(AND(N18=1,O18=0),1,0)</x:f>
        <x:v>0</x:v>
      </x:c>
      <x:c r="T18" s="12" t="n">
        <x:f>IF(A18="",0,IF(COUNTIF('10_방법론'!$A$6:$A$105,A18)&gt;1,1,0))</x:f>
        <x:v>0</x:v>
      </x:c>
    </x:row>
    <x:row r="19" ht="20" customHeight="1">
      <x:c r="A19" s="22"/>
      <x:c r="B19" s="22"/>
      <x:c r="C19" s="26"/>
      <x:c r="D19" s="22"/>
      <x:c r="E19" s="26"/>
      <x:c r="F19" s="22"/>
      <x:c r="G19" s="22"/>
      <x:c r="H19" s="28"/>
      <x:c r="I19" s="28"/>
      <x:c r="J19" s="28"/>
      <x:c r="K19" s="22"/>
      <x:c r="L19" s="22"/>
      <x:c r="M19" s="12" t="n">
        <x:f>IF(A19="",0,IF('01_설정'!$B$8="all",1,IF('01_설정'!$B$8="industry_transition",IF(OR(D19="industry",D19="transition"),1,0),IF(D19='01_설정'!$B$8,1,0))))</x:f>
        <x:v>0</x:v>
      </x:c>
      <x:c r="N19" s="12" t="n">
        <x:f>IF(A19="",0,IF(AND(M19=1,J19&lt;='01_설정'!$B$7,IF(H19&gt;0,H19,I19)&gt;0,IF(H19&gt;0,H19,I19)&lt;='01_설정'!$B$6),1,0))</x:f>
        <x:v>0</x:v>
      </x:c>
      <x:c r="O19" s="12" t="n">
        <x:f>IF(H19&gt;0,YEAR(H19),0)</x:f>
        <x:v>0</x:v>
      </x:c>
      <x:c r="P19" s="12" t="n">
        <x:f>IF(A19="",0,_xlfn.MAXIFS('14_적용상태'!$J$6:$J$205,'14_적용상태'!$B$6:$B$205,A19,'14_적용상태'!$I$6:$I$205,1))</x:f>
        <x:v>0</x:v>
      </x:c>
      <x:c r="Q19" s="12" t="n">
        <x:f>IF(P19=0,0,SUMIFS('14_적용상태'!$H$6:$H$205,'14_적용상태'!$J$6:$J$205,P19))</x:f>
        <x:v>0</x:v>
      </x:c>
      <x:c r="R19" s="12" t="n">
        <x:f>IF(AND(N19=1,Q19=1),1,0)</x:f>
        <x:v>0</x:v>
      </x:c>
      <x:c r="S19" s="12" t="n">
        <x:f>IF(AND(N19=1,O19=0),1,0)</x:f>
        <x:v>0</x:v>
      </x:c>
      <x:c r="T19" s="12" t="n">
        <x:f>IF(A19="",0,IF(COUNTIF('10_방법론'!$A$6:$A$105,A19)&gt;1,1,0))</x:f>
        <x:v>0</x:v>
      </x:c>
    </x:row>
    <x:row r="20" ht="20" customHeight="1">
      <x:c r="A20" s="22"/>
      <x:c r="B20" s="22"/>
      <x:c r="C20" s="26"/>
      <x:c r="D20" s="22"/>
      <x:c r="E20" s="26"/>
      <x:c r="F20" s="22"/>
      <x:c r="G20" s="22"/>
      <x:c r="H20" s="28"/>
      <x:c r="I20" s="28"/>
      <x:c r="J20" s="28"/>
      <x:c r="K20" s="22"/>
      <x:c r="L20" s="22"/>
      <x:c r="M20" s="12" t="n">
        <x:f>IF(A20="",0,IF('01_설정'!$B$8="all",1,IF('01_설정'!$B$8="industry_transition",IF(OR(D20="industry",D20="transition"),1,0),IF(D20='01_설정'!$B$8,1,0))))</x:f>
        <x:v>0</x:v>
      </x:c>
      <x:c r="N20" s="12" t="n">
        <x:f>IF(A20="",0,IF(AND(M20=1,J20&lt;='01_설정'!$B$7,IF(H20&gt;0,H20,I20)&gt;0,IF(H20&gt;0,H20,I20)&lt;='01_설정'!$B$6),1,0))</x:f>
        <x:v>0</x:v>
      </x:c>
      <x:c r="O20" s="12" t="n">
        <x:f>IF(H20&gt;0,YEAR(H20),0)</x:f>
        <x:v>0</x:v>
      </x:c>
      <x:c r="P20" s="12" t="n">
        <x:f>IF(A20="",0,_xlfn.MAXIFS('14_적용상태'!$J$6:$J$205,'14_적용상태'!$B$6:$B$205,A20,'14_적용상태'!$I$6:$I$205,1))</x:f>
        <x:v>0</x:v>
      </x:c>
      <x:c r="Q20" s="12" t="n">
        <x:f>IF(P20=0,0,SUMIFS('14_적용상태'!$H$6:$H$205,'14_적용상태'!$J$6:$J$205,P20))</x:f>
        <x:v>0</x:v>
      </x:c>
      <x:c r="R20" s="12" t="n">
        <x:f>IF(AND(N20=1,Q20=1),1,0)</x:f>
        <x:v>0</x:v>
      </x:c>
      <x:c r="S20" s="12" t="n">
        <x:f>IF(AND(N20=1,O20=0),1,0)</x:f>
        <x:v>0</x:v>
      </x:c>
      <x:c r="T20" s="12" t="n">
        <x:f>IF(A20="",0,IF(COUNTIF('10_방법론'!$A$6:$A$105,A20)&gt;1,1,0))</x:f>
        <x:v>0</x:v>
      </x:c>
    </x:row>
    <x:row r="21" ht="20" customHeight="1">
      <x:c r="A21" s="22"/>
      <x:c r="B21" s="22"/>
      <x:c r="C21" s="26"/>
      <x:c r="D21" s="22"/>
      <x:c r="E21" s="26"/>
      <x:c r="F21" s="22"/>
      <x:c r="G21" s="22"/>
      <x:c r="H21" s="28"/>
      <x:c r="I21" s="28"/>
      <x:c r="J21" s="28"/>
      <x:c r="K21" s="22"/>
      <x:c r="L21" s="22"/>
      <x:c r="M21" s="12" t="n">
        <x:f>IF(A21="",0,IF('01_설정'!$B$8="all",1,IF('01_설정'!$B$8="industry_transition",IF(OR(D21="industry",D21="transition"),1,0),IF(D21='01_설정'!$B$8,1,0))))</x:f>
        <x:v>0</x:v>
      </x:c>
      <x:c r="N21" s="12" t="n">
        <x:f>IF(A21="",0,IF(AND(M21=1,J21&lt;='01_설정'!$B$7,IF(H21&gt;0,H21,I21)&gt;0,IF(H21&gt;0,H21,I21)&lt;='01_설정'!$B$6),1,0))</x:f>
        <x:v>0</x:v>
      </x:c>
      <x:c r="O21" s="12" t="n">
        <x:f>IF(H21&gt;0,YEAR(H21),0)</x:f>
        <x:v>0</x:v>
      </x:c>
      <x:c r="P21" s="12" t="n">
        <x:f>IF(A21="",0,_xlfn.MAXIFS('14_적용상태'!$J$6:$J$205,'14_적용상태'!$B$6:$B$205,A21,'14_적용상태'!$I$6:$I$205,1))</x:f>
        <x:v>0</x:v>
      </x:c>
      <x:c r="Q21" s="12" t="n">
        <x:f>IF(P21=0,0,SUMIFS('14_적용상태'!$H$6:$H$205,'14_적용상태'!$J$6:$J$205,P21))</x:f>
        <x:v>0</x:v>
      </x:c>
      <x:c r="R21" s="12" t="n">
        <x:f>IF(AND(N21=1,Q21=1),1,0)</x:f>
        <x:v>0</x:v>
      </x:c>
      <x:c r="S21" s="12" t="n">
        <x:f>IF(AND(N21=1,O21=0),1,0)</x:f>
        <x:v>0</x:v>
      </x:c>
      <x:c r="T21" s="12" t="n">
        <x:f>IF(A21="",0,IF(COUNTIF('10_방법론'!$A$6:$A$105,A21)&gt;1,1,0))</x:f>
        <x:v>0</x:v>
      </x:c>
    </x:row>
    <x:row r="22" ht="20" customHeight="1">
      <x:c r="A22" s="22"/>
      <x:c r="B22" s="22"/>
      <x:c r="C22" s="26"/>
      <x:c r="D22" s="22"/>
      <x:c r="E22" s="26"/>
      <x:c r="F22" s="22"/>
      <x:c r="G22" s="22"/>
      <x:c r="H22" s="28"/>
      <x:c r="I22" s="28"/>
      <x:c r="J22" s="28"/>
      <x:c r="K22" s="22"/>
      <x:c r="L22" s="22"/>
      <x:c r="M22" s="12" t="n">
        <x:f>IF(A22="",0,IF('01_설정'!$B$8="all",1,IF('01_설정'!$B$8="industry_transition",IF(OR(D22="industry",D22="transition"),1,0),IF(D22='01_설정'!$B$8,1,0))))</x:f>
        <x:v>0</x:v>
      </x:c>
      <x:c r="N22" s="12" t="n">
        <x:f>IF(A22="",0,IF(AND(M22=1,J22&lt;='01_설정'!$B$7,IF(H22&gt;0,H22,I22)&gt;0,IF(H22&gt;0,H22,I22)&lt;='01_설정'!$B$6),1,0))</x:f>
        <x:v>0</x:v>
      </x:c>
      <x:c r="O22" s="12" t="n">
        <x:f>IF(H22&gt;0,YEAR(H22),0)</x:f>
        <x:v>0</x:v>
      </x:c>
      <x:c r="P22" s="12" t="n">
        <x:f>IF(A22="",0,_xlfn.MAXIFS('14_적용상태'!$J$6:$J$205,'14_적용상태'!$B$6:$B$205,A22,'14_적용상태'!$I$6:$I$205,1))</x:f>
        <x:v>0</x:v>
      </x:c>
      <x:c r="Q22" s="12" t="n">
        <x:f>IF(P22=0,0,SUMIFS('14_적용상태'!$H$6:$H$205,'14_적용상태'!$J$6:$J$205,P22))</x:f>
        <x:v>0</x:v>
      </x:c>
      <x:c r="R22" s="12" t="n">
        <x:f>IF(AND(N22=1,Q22=1),1,0)</x:f>
        <x:v>0</x:v>
      </x:c>
      <x:c r="S22" s="12" t="n">
        <x:f>IF(AND(N22=1,O22=0),1,0)</x:f>
        <x:v>0</x:v>
      </x:c>
      <x:c r="T22" s="12" t="n">
        <x:f>IF(A22="",0,IF(COUNTIF('10_방법론'!$A$6:$A$105,A22)&gt;1,1,0))</x:f>
        <x:v>0</x:v>
      </x:c>
    </x:row>
    <x:row r="23" ht="20" customHeight="1">
      <x:c r="A23" s="22"/>
      <x:c r="B23" s="22"/>
      <x:c r="C23" s="26"/>
      <x:c r="D23" s="22"/>
      <x:c r="E23" s="26"/>
      <x:c r="F23" s="22"/>
      <x:c r="G23" s="22"/>
      <x:c r="H23" s="28"/>
      <x:c r="I23" s="28"/>
      <x:c r="J23" s="28"/>
      <x:c r="K23" s="22"/>
      <x:c r="L23" s="22"/>
      <x:c r="M23" s="12" t="n">
        <x:f>IF(A23="",0,IF('01_설정'!$B$8="all",1,IF('01_설정'!$B$8="industry_transition",IF(OR(D23="industry",D23="transition"),1,0),IF(D23='01_설정'!$B$8,1,0))))</x:f>
        <x:v>0</x:v>
      </x:c>
      <x:c r="N23" s="12" t="n">
        <x:f>IF(A23="",0,IF(AND(M23=1,J23&lt;='01_설정'!$B$7,IF(H23&gt;0,H23,I23)&gt;0,IF(H23&gt;0,H23,I23)&lt;='01_설정'!$B$6),1,0))</x:f>
        <x:v>0</x:v>
      </x:c>
      <x:c r="O23" s="12" t="n">
        <x:f>IF(H23&gt;0,YEAR(H23),0)</x:f>
        <x:v>0</x:v>
      </x:c>
      <x:c r="P23" s="12" t="n">
        <x:f>IF(A23="",0,_xlfn.MAXIFS('14_적용상태'!$J$6:$J$205,'14_적용상태'!$B$6:$B$205,A23,'14_적용상태'!$I$6:$I$205,1))</x:f>
        <x:v>0</x:v>
      </x:c>
      <x:c r="Q23" s="12" t="n">
        <x:f>IF(P23=0,0,SUMIFS('14_적용상태'!$H$6:$H$205,'14_적용상태'!$J$6:$J$205,P23))</x:f>
        <x:v>0</x:v>
      </x:c>
      <x:c r="R23" s="12" t="n">
        <x:f>IF(AND(N23=1,Q23=1),1,0)</x:f>
        <x:v>0</x:v>
      </x:c>
      <x:c r="S23" s="12" t="n">
        <x:f>IF(AND(N23=1,O23=0),1,0)</x:f>
        <x:v>0</x:v>
      </x:c>
      <x:c r="T23" s="12" t="n">
        <x:f>IF(A23="",0,IF(COUNTIF('10_방법론'!$A$6:$A$105,A23)&gt;1,1,0))</x:f>
        <x:v>0</x:v>
      </x:c>
    </x:row>
    <x:row r="24" ht="20" customHeight="1">
      <x:c r="A24" s="22"/>
      <x:c r="B24" s="22"/>
      <x:c r="C24" s="26"/>
      <x:c r="D24" s="22"/>
      <x:c r="E24" s="26"/>
      <x:c r="F24" s="22"/>
      <x:c r="G24" s="22"/>
      <x:c r="H24" s="28"/>
      <x:c r="I24" s="28"/>
      <x:c r="J24" s="28"/>
      <x:c r="K24" s="22"/>
      <x:c r="L24" s="22"/>
      <x:c r="M24" s="12" t="n">
        <x:f>IF(A24="",0,IF('01_설정'!$B$8="all",1,IF('01_설정'!$B$8="industry_transition",IF(OR(D24="industry",D24="transition"),1,0),IF(D24='01_설정'!$B$8,1,0))))</x:f>
        <x:v>0</x:v>
      </x:c>
      <x:c r="N24" s="12" t="n">
        <x:f>IF(A24="",0,IF(AND(M24=1,J24&lt;='01_설정'!$B$7,IF(H24&gt;0,H24,I24)&gt;0,IF(H24&gt;0,H24,I24)&lt;='01_설정'!$B$6),1,0))</x:f>
        <x:v>0</x:v>
      </x:c>
      <x:c r="O24" s="12" t="n">
        <x:f>IF(H24&gt;0,YEAR(H24),0)</x:f>
        <x:v>0</x:v>
      </x:c>
      <x:c r="P24" s="12" t="n">
        <x:f>IF(A24="",0,_xlfn.MAXIFS('14_적용상태'!$J$6:$J$205,'14_적용상태'!$B$6:$B$205,A24,'14_적용상태'!$I$6:$I$205,1))</x:f>
        <x:v>0</x:v>
      </x:c>
      <x:c r="Q24" s="12" t="n">
        <x:f>IF(P24=0,0,SUMIFS('14_적용상태'!$H$6:$H$205,'14_적용상태'!$J$6:$J$205,P24))</x:f>
        <x:v>0</x:v>
      </x:c>
      <x:c r="R24" s="12" t="n">
        <x:f>IF(AND(N24=1,Q24=1),1,0)</x:f>
        <x:v>0</x:v>
      </x:c>
      <x:c r="S24" s="12" t="n">
        <x:f>IF(AND(N24=1,O24=0),1,0)</x:f>
        <x:v>0</x:v>
      </x:c>
      <x:c r="T24" s="12" t="n">
        <x:f>IF(A24="",0,IF(COUNTIF('10_방법론'!$A$6:$A$105,A24)&gt;1,1,0))</x:f>
        <x:v>0</x:v>
      </x:c>
    </x:row>
    <x:row r="25" ht="20" customHeight="1">
      <x:c r="A25" s="22"/>
      <x:c r="B25" s="22"/>
      <x:c r="C25" s="26"/>
      <x:c r="D25" s="22"/>
      <x:c r="E25" s="26"/>
      <x:c r="F25" s="22"/>
      <x:c r="G25" s="22"/>
      <x:c r="H25" s="28"/>
      <x:c r="I25" s="28"/>
      <x:c r="J25" s="28"/>
      <x:c r="K25" s="22"/>
      <x:c r="L25" s="22"/>
      <x:c r="M25" s="12" t="n">
        <x:f>IF(A25="",0,IF('01_설정'!$B$8="all",1,IF('01_설정'!$B$8="industry_transition",IF(OR(D25="industry",D25="transition"),1,0),IF(D25='01_설정'!$B$8,1,0))))</x:f>
        <x:v>0</x:v>
      </x:c>
      <x:c r="N25" s="12" t="n">
        <x:f>IF(A25="",0,IF(AND(M25=1,J25&lt;='01_설정'!$B$7,IF(H25&gt;0,H25,I25)&gt;0,IF(H25&gt;0,H25,I25)&lt;='01_설정'!$B$6),1,0))</x:f>
        <x:v>0</x:v>
      </x:c>
      <x:c r="O25" s="12" t="n">
        <x:f>IF(H25&gt;0,YEAR(H25),0)</x:f>
        <x:v>0</x:v>
      </x:c>
      <x:c r="P25" s="12" t="n">
        <x:f>IF(A25="",0,_xlfn.MAXIFS('14_적용상태'!$J$6:$J$205,'14_적용상태'!$B$6:$B$205,A25,'14_적용상태'!$I$6:$I$205,1))</x:f>
        <x:v>0</x:v>
      </x:c>
      <x:c r="Q25" s="12" t="n">
        <x:f>IF(P25=0,0,SUMIFS('14_적용상태'!$H$6:$H$205,'14_적용상태'!$J$6:$J$205,P25))</x:f>
        <x:v>0</x:v>
      </x:c>
      <x:c r="R25" s="12" t="n">
        <x:f>IF(AND(N25=1,Q25=1),1,0)</x:f>
        <x:v>0</x:v>
      </x:c>
      <x:c r="S25" s="12" t="n">
        <x:f>IF(AND(N25=1,O25=0),1,0)</x:f>
        <x:v>0</x:v>
      </x:c>
      <x:c r="T25" s="12" t="n">
        <x:f>IF(A25="",0,IF(COUNTIF('10_방법론'!$A$6:$A$105,A25)&gt;1,1,0))</x:f>
        <x:v>0</x:v>
      </x:c>
    </x:row>
    <x:row r="26" ht="20" customHeight="1">
      <x:c r="A26" s="22"/>
      <x:c r="B26" s="22"/>
      <x:c r="C26" s="26"/>
      <x:c r="D26" s="22"/>
      <x:c r="E26" s="26"/>
      <x:c r="F26" s="22"/>
      <x:c r="G26" s="22"/>
      <x:c r="H26" s="28"/>
      <x:c r="I26" s="28"/>
      <x:c r="J26" s="28"/>
      <x:c r="K26" s="22"/>
      <x:c r="L26" s="22"/>
      <x:c r="M26" s="12" t="n">
        <x:f>IF(A26="",0,IF('01_설정'!$B$8="all",1,IF('01_설정'!$B$8="industry_transition",IF(OR(D26="industry",D26="transition"),1,0),IF(D26='01_설정'!$B$8,1,0))))</x:f>
        <x:v>0</x:v>
      </x:c>
      <x:c r="N26" s="12" t="n">
        <x:f>IF(A26="",0,IF(AND(M26=1,J26&lt;='01_설정'!$B$7,IF(H26&gt;0,H26,I26)&gt;0,IF(H26&gt;0,H26,I26)&lt;='01_설정'!$B$6),1,0))</x:f>
        <x:v>0</x:v>
      </x:c>
      <x:c r="O26" s="12" t="n">
        <x:f>IF(H26&gt;0,YEAR(H26),0)</x:f>
        <x:v>0</x:v>
      </x:c>
      <x:c r="P26" s="12" t="n">
        <x:f>IF(A26="",0,_xlfn.MAXIFS('14_적용상태'!$J$6:$J$205,'14_적용상태'!$B$6:$B$205,A26,'14_적용상태'!$I$6:$I$205,1))</x:f>
        <x:v>0</x:v>
      </x:c>
      <x:c r="Q26" s="12" t="n">
        <x:f>IF(P26=0,0,SUMIFS('14_적용상태'!$H$6:$H$205,'14_적용상태'!$J$6:$J$205,P26))</x:f>
        <x:v>0</x:v>
      </x:c>
      <x:c r="R26" s="12" t="n">
        <x:f>IF(AND(N26=1,Q26=1),1,0)</x:f>
        <x:v>0</x:v>
      </x:c>
      <x:c r="S26" s="12" t="n">
        <x:f>IF(AND(N26=1,O26=0),1,0)</x:f>
        <x:v>0</x:v>
      </x:c>
      <x:c r="T26" s="12" t="n">
        <x:f>IF(A26="",0,IF(COUNTIF('10_방법론'!$A$6:$A$105,A26)&gt;1,1,0))</x:f>
        <x:v>0</x:v>
      </x:c>
    </x:row>
    <x:row r="27" ht="20" customHeight="1">
      <x:c r="A27" s="22"/>
      <x:c r="B27" s="22"/>
      <x:c r="C27" s="26"/>
      <x:c r="D27" s="22"/>
      <x:c r="E27" s="26"/>
      <x:c r="F27" s="22"/>
      <x:c r="G27" s="22"/>
      <x:c r="H27" s="28"/>
      <x:c r="I27" s="28"/>
      <x:c r="J27" s="28"/>
      <x:c r="K27" s="22"/>
      <x:c r="L27" s="22"/>
      <x:c r="M27" s="12" t="n">
        <x:f>IF(A27="",0,IF('01_설정'!$B$8="all",1,IF('01_설정'!$B$8="industry_transition",IF(OR(D27="industry",D27="transition"),1,0),IF(D27='01_설정'!$B$8,1,0))))</x:f>
        <x:v>0</x:v>
      </x:c>
      <x:c r="N27" s="12" t="n">
        <x:f>IF(A27="",0,IF(AND(M27=1,J27&lt;='01_설정'!$B$7,IF(H27&gt;0,H27,I27)&gt;0,IF(H27&gt;0,H27,I27)&lt;='01_설정'!$B$6),1,0))</x:f>
        <x:v>0</x:v>
      </x:c>
      <x:c r="O27" s="12" t="n">
        <x:f>IF(H27&gt;0,YEAR(H27),0)</x:f>
        <x:v>0</x:v>
      </x:c>
      <x:c r="P27" s="12" t="n">
        <x:f>IF(A27="",0,_xlfn.MAXIFS('14_적용상태'!$J$6:$J$205,'14_적용상태'!$B$6:$B$205,A27,'14_적용상태'!$I$6:$I$205,1))</x:f>
        <x:v>0</x:v>
      </x:c>
      <x:c r="Q27" s="12" t="n">
        <x:f>IF(P27=0,0,SUMIFS('14_적용상태'!$H$6:$H$205,'14_적용상태'!$J$6:$J$205,P27))</x:f>
        <x:v>0</x:v>
      </x:c>
      <x:c r="R27" s="12" t="n">
        <x:f>IF(AND(N27=1,Q27=1),1,0)</x:f>
        <x:v>0</x:v>
      </x:c>
      <x:c r="S27" s="12" t="n">
        <x:f>IF(AND(N27=1,O27=0),1,0)</x:f>
        <x:v>0</x:v>
      </x:c>
      <x:c r="T27" s="12" t="n">
        <x:f>IF(A27="",0,IF(COUNTIF('10_방법론'!$A$6:$A$105,A27)&gt;1,1,0))</x:f>
        <x:v>0</x:v>
      </x:c>
    </x:row>
    <x:row r="28" ht="20" customHeight="1">
      <x:c r="A28" s="22"/>
      <x:c r="B28" s="22"/>
      <x:c r="C28" s="26"/>
      <x:c r="D28" s="22"/>
      <x:c r="E28" s="26"/>
      <x:c r="F28" s="22"/>
      <x:c r="G28" s="22"/>
      <x:c r="H28" s="28"/>
      <x:c r="I28" s="28"/>
      <x:c r="J28" s="28"/>
      <x:c r="K28" s="22"/>
      <x:c r="L28" s="22"/>
      <x:c r="M28" s="12" t="n">
        <x:f>IF(A28="",0,IF('01_설정'!$B$8="all",1,IF('01_설정'!$B$8="industry_transition",IF(OR(D28="industry",D28="transition"),1,0),IF(D28='01_설정'!$B$8,1,0))))</x:f>
        <x:v>0</x:v>
      </x:c>
      <x:c r="N28" s="12" t="n">
        <x:f>IF(A28="",0,IF(AND(M28=1,J28&lt;='01_설정'!$B$7,IF(H28&gt;0,H28,I28)&gt;0,IF(H28&gt;0,H28,I28)&lt;='01_설정'!$B$6),1,0))</x:f>
        <x:v>0</x:v>
      </x:c>
      <x:c r="O28" s="12" t="n">
        <x:f>IF(H28&gt;0,YEAR(H28),0)</x:f>
        <x:v>0</x:v>
      </x:c>
      <x:c r="P28" s="12" t="n">
        <x:f>IF(A28="",0,_xlfn.MAXIFS('14_적용상태'!$J$6:$J$205,'14_적용상태'!$B$6:$B$205,A28,'14_적용상태'!$I$6:$I$205,1))</x:f>
        <x:v>0</x:v>
      </x:c>
      <x:c r="Q28" s="12" t="n">
        <x:f>IF(P28=0,0,SUMIFS('14_적용상태'!$H$6:$H$205,'14_적용상태'!$J$6:$J$205,P28))</x:f>
        <x:v>0</x:v>
      </x:c>
      <x:c r="R28" s="12" t="n">
        <x:f>IF(AND(N28=1,Q28=1),1,0)</x:f>
        <x:v>0</x:v>
      </x:c>
      <x:c r="S28" s="12" t="n">
        <x:f>IF(AND(N28=1,O28=0),1,0)</x:f>
        <x:v>0</x:v>
      </x:c>
      <x:c r="T28" s="12" t="n">
        <x:f>IF(A28="",0,IF(COUNTIF('10_방법론'!$A$6:$A$105,A28)&gt;1,1,0))</x:f>
        <x:v>0</x:v>
      </x:c>
    </x:row>
    <x:row r="29" ht="20" customHeight="1">
      <x:c r="A29" s="22"/>
      <x:c r="B29" s="22"/>
      <x:c r="C29" s="26"/>
      <x:c r="D29" s="22"/>
      <x:c r="E29" s="26"/>
      <x:c r="F29" s="22"/>
      <x:c r="G29" s="22"/>
      <x:c r="H29" s="28"/>
      <x:c r="I29" s="28"/>
      <x:c r="J29" s="28"/>
      <x:c r="K29" s="22"/>
      <x:c r="L29" s="22"/>
      <x:c r="M29" s="12" t="n">
        <x:f>IF(A29="",0,IF('01_설정'!$B$8="all",1,IF('01_설정'!$B$8="industry_transition",IF(OR(D29="industry",D29="transition"),1,0),IF(D29='01_설정'!$B$8,1,0))))</x:f>
        <x:v>0</x:v>
      </x:c>
      <x:c r="N29" s="12" t="n">
        <x:f>IF(A29="",0,IF(AND(M29=1,J29&lt;='01_설정'!$B$7,IF(H29&gt;0,H29,I29)&gt;0,IF(H29&gt;0,H29,I29)&lt;='01_설정'!$B$6),1,0))</x:f>
        <x:v>0</x:v>
      </x:c>
      <x:c r="O29" s="12" t="n">
        <x:f>IF(H29&gt;0,YEAR(H29),0)</x:f>
        <x:v>0</x:v>
      </x:c>
      <x:c r="P29" s="12" t="n">
        <x:f>IF(A29="",0,_xlfn.MAXIFS('14_적용상태'!$J$6:$J$205,'14_적용상태'!$B$6:$B$205,A29,'14_적용상태'!$I$6:$I$205,1))</x:f>
        <x:v>0</x:v>
      </x:c>
      <x:c r="Q29" s="12" t="n">
        <x:f>IF(P29=0,0,SUMIFS('14_적용상태'!$H$6:$H$205,'14_적용상태'!$J$6:$J$205,P29))</x:f>
        <x:v>0</x:v>
      </x:c>
      <x:c r="R29" s="12" t="n">
        <x:f>IF(AND(N29=1,Q29=1),1,0)</x:f>
        <x:v>0</x:v>
      </x:c>
      <x:c r="S29" s="12" t="n">
        <x:f>IF(AND(N29=1,O29=0),1,0)</x:f>
        <x:v>0</x:v>
      </x:c>
      <x:c r="T29" s="12" t="n">
        <x:f>IF(A29="",0,IF(COUNTIF('10_방법론'!$A$6:$A$105,A29)&gt;1,1,0))</x:f>
        <x:v>0</x:v>
      </x:c>
    </x:row>
    <x:row r="30" ht="20" customHeight="1">
      <x:c r="A30" s="22"/>
      <x:c r="B30" s="22"/>
      <x:c r="C30" s="26"/>
      <x:c r="D30" s="22"/>
      <x:c r="E30" s="26"/>
      <x:c r="F30" s="22"/>
      <x:c r="G30" s="22"/>
      <x:c r="H30" s="28"/>
      <x:c r="I30" s="28"/>
      <x:c r="J30" s="28"/>
      <x:c r="K30" s="22"/>
      <x:c r="L30" s="22"/>
      <x:c r="M30" s="12" t="n">
        <x:f>IF(A30="",0,IF('01_설정'!$B$8="all",1,IF('01_설정'!$B$8="industry_transition",IF(OR(D30="industry",D30="transition"),1,0),IF(D30='01_설정'!$B$8,1,0))))</x:f>
        <x:v>0</x:v>
      </x:c>
      <x:c r="N30" s="12" t="n">
        <x:f>IF(A30="",0,IF(AND(M30=1,J30&lt;='01_설정'!$B$7,IF(H30&gt;0,H30,I30)&gt;0,IF(H30&gt;0,H30,I30)&lt;='01_설정'!$B$6),1,0))</x:f>
        <x:v>0</x:v>
      </x:c>
      <x:c r="O30" s="12" t="n">
        <x:f>IF(H30&gt;0,YEAR(H30),0)</x:f>
        <x:v>0</x:v>
      </x:c>
      <x:c r="P30" s="12" t="n">
        <x:f>IF(A30="",0,_xlfn.MAXIFS('14_적용상태'!$J$6:$J$205,'14_적용상태'!$B$6:$B$205,A30,'14_적용상태'!$I$6:$I$205,1))</x:f>
        <x:v>0</x:v>
      </x:c>
      <x:c r="Q30" s="12" t="n">
        <x:f>IF(P30=0,0,SUMIFS('14_적용상태'!$H$6:$H$205,'14_적용상태'!$J$6:$J$205,P30))</x:f>
        <x:v>0</x:v>
      </x:c>
      <x:c r="R30" s="12" t="n">
        <x:f>IF(AND(N30=1,Q30=1),1,0)</x:f>
        <x:v>0</x:v>
      </x:c>
      <x:c r="S30" s="12" t="n">
        <x:f>IF(AND(N30=1,O30=0),1,0)</x:f>
        <x:v>0</x:v>
      </x:c>
      <x:c r="T30" s="12" t="n">
        <x:f>IF(A30="",0,IF(COUNTIF('10_방법론'!$A$6:$A$105,A30)&gt;1,1,0))</x:f>
        <x:v>0</x:v>
      </x:c>
    </x:row>
    <x:row r="31" ht="20" customHeight="1">
      <x:c r="A31" s="22"/>
      <x:c r="B31" s="22"/>
      <x:c r="C31" s="26"/>
      <x:c r="D31" s="22"/>
      <x:c r="E31" s="26"/>
      <x:c r="F31" s="22"/>
      <x:c r="G31" s="22"/>
      <x:c r="H31" s="28"/>
      <x:c r="I31" s="28"/>
      <x:c r="J31" s="28"/>
      <x:c r="K31" s="22"/>
      <x:c r="L31" s="22"/>
      <x:c r="M31" s="12" t="n">
        <x:f>IF(A31="",0,IF('01_설정'!$B$8="all",1,IF('01_설정'!$B$8="industry_transition",IF(OR(D31="industry",D31="transition"),1,0),IF(D31='01_설정'!$B$8,1,0))))</x:f>
        <x:v>0</x:v>
      </x:c>
      <x:c r="N31" s="12" t="n">
        <x:f>IF(A31="",0,IF(AND(M31=1,J31&lt;='01_설정'!$B$7,IF(H31&gt;0,H31,I31)&gt;0,IF(H31&gt;0,H31,I31)&lt;='01_설정'!$B$6),1,0))</x:f>
        <x:v>0</x:v>
      </x:c>
      <x:c r="O31" s="12" t="n">
        <x:f>IF(H31&gt;0,YEAR(H31),0)</x:f>
        <x:v>0</x:v>
      </x:c>
      <x:c r="P31" s="12" t="n">
        <x:f>IF(A31="",0,_xlfn.MAXIFS('14_적용상태'!$J$6:$J$205,'14_적용상태'!$B$6:$B$205,A31,'14_적용상태'!$I$6:$I$205,1))</x:f>
        <x:v>0</x:v>
      </x:c>
      <x:c r="Q31" s="12" t="n">
        <x:f>IF(P31=0,0,SUMIFS('14_적용상태'!$H$6:$H$205,'14_적용상태'!$J$6:$J$205,P31))</x:f>
        <x:v>0</x:v>
      </x:c>
      <x:c r="R31" s="12" t="n">
        <x:f>IF(AND(N31=1,Q31=1),1,0)</x:f>
        <x:v>0</x:v>
      </x:c>
      <x:c r="S31" s="12" t="n">
        <x:f>IF(AND(N31=1,O31=0),1,0)</x:f>
        <x:v>0</x:v>
      </x:c>
      <x:c r="T31" s="12" t="n">
        <x:f>IF(A31="",0,IF(COUNTIF('10_방법론'!$A$6:$A$105,A31)&gt;1,1,0))</x:f>
        <x:v>0</x:v>
      </x:c>
    </x:row>
    <x:row r="32" ht="20" customHeight="1">
      <x:c r="A32" s="22"/>
      <x:c r="B32" s="22"/>
      <x:c r="C32" s="26"/>
      <x:c r="D32" s="22"/>
      <x:c r="E32" s="26"/>
      <x:c r="F32" s="22"/>
      <x:c r="G32" s="22"/>
      <x:c r="H32" s="28"/>
      <x:c r="I32" s="28"/>
      <x:c r="J32" s="28"/>
      <x:c r="K32" s="22"/>
      <x:c r="L32" s="22"/>
      <x:c r="M32" s="12" t="n">
        <x:f>IF(A32="",0,IF('01_설정'!$B$8="all",1,IF('01_설정'!$B$8="industry_transition",IF(OR(D32="industry",D32="transition"),1,0),IF(D32='01_설정'!$B$8,1,0))))</x:f>
        <x:v>0</x:v>
      </x:c>
      <x:c r="N32" s="12" t="n">
        <x:f>IF(A32="",0,IF(AND(M32=1,J32&lt;='01_설정'!$B$7,IF(H32&gt;0,H32,I32)&gt;0,IF(H32&gt;0,H32,I32)&lt;='01_설정'!$B$6),1,0))</x:f>
        <x:v>0</x:v>
      </x:c>
      <x:c r="O32" s="12" t="n">
        <x:f>IF(H32&gt;0,YEAR(H32),0)</x:f>
        <x:v>0</x:v>
      </x:c>
      <x:c r="P32" s="12" t="n">
        <x:f>IF(A32="",0,_xlfn.MAXIFS('14_적용상태'!$J$6:$J$205,'14_적용상태'!$B$6:$B$205,A32,'14_적용상태'!$I$6:$I$205,1))</x:f>
        <x:v>0</x:v>
      </x:c>
      <x:c r="Q32" s="12" t="n">
        <x:f>IF(P32=0,0,SUMIFS('14_적용상태'!$H$6:$H$205,'14_적용상태'!$J$6:$J$205,P32))</x:f>
        <x:v>0</x:v>
      </x:c>
      <x:c r="R32" s="12" t="n">
        <x:f>IF(AND(N32=1,Q32=1),1,0)</x:f>
        <x:v>0</x:v>
      </x:c>
      <x:c r="S32" s="12" t="n">
        <x:f>IF(AND(N32=1,O32=0),1,0)</x:f>
        <x:v>0</x:v>
      </x:c>
      <x:c r="T32" s="12" t="n">
        <x:f>IF(A32="",0,IF(COUNTIF('10_방법론'!$A$6:$A$105,A32)&gt;1,1,0))</x:f>
        <x:v>0</x:v>
      </x:c>
    </x:row>
    <x:row r="33" ht="20" customHeight="1">
      <x:c r="A33" s="22"/>
      <x:c r="B33" s="22"/>
      <x:c r="C33" s="26"/>
      <x:c r="D33" s="22"/>
      <x:c r="E33" s="26"/>
      <x:c r="F33" s="22"/>
      <x:c r="G33" s="22"/>
      <x:c r="H33" s="28"/>
      <x:c r="I33" s="28"/>
      <x:c r="J33" s="28"/>
      <x:c r="K33" s="22"/>
      <x:c r="L33" s="22"/>
      <x:c r="M33" s="12" t="n">
        <x:f>IF(A33="",0,IF('01_설정'!$B$8="all",1,IF('01_설정'!$B$8="industry_transition",IF(OR(D33="industry",D33="transition"),1,0),IF(D33='01_설정'!$B$8,1,0))))</x:f>
        <x:v>0</x:v>
      </x:c>
      <x:c r="N33" s="12" t="n">
        <x:f>IF(A33="",0,IF(AND(M33=1,J33&lt;='01_설정'!$B$7,IF(H33&gt;0,H33,I33)&gt;0,IF(H33&gt;0,H33,I33)&lt;='01_설정'!$B$6),1,0))</x:f>
        <x:v>0</x:v>
      </x:c>
      <x:c r="O33" s="12" t="n">
        <x:f>IF(H33&gt;0,YEAR(H33),0)</x:f>
        <x:v>0</x:v>
      </x:c>
      <x:c r="P33" s="12" t="n">
        <x:f>IF(A33="",0,_xlfn.MAXIFS('14_적용상태'!$J$6:$J$205,'14_적용상태'!$B$6:$B$205,A33,'14_적용상태'!$I$6:$I$205,1))</x:f>
        <x:v>0</x:v>
      </x:c>
      <x:c r="Q33" s="12" t="n">
        <x:f>IF(P33=0,0,SUMIFS('14_적용상태'!$H$6:$H$205,'14_적용상태'!$J$6:$J$205,P33))</x:f>
        <x:v>0</x:v>
      </x:c>
      <x:c r="R33" s="12" t="n">
        <x:f>IF(AND(N33=1,Q33=1),1,0)</x:f>
        <x:v>0</x:v>
      </x:c>
      <x:c r="S33" s="12" t="n">
        <x:f>IF(AND(N33=1,O33=0),1,0)</x:f>
        <x:v>0</x:v>
      </x:c>
      <x:c r="T33" s="12" t="n">
        <x:f>IF(A33="",0,IF(COUNTIF('10_방법론'!$A$6:$A$105,A33)&gt;1,1,0))</x:f>
        <x:v>0</x:v>
      </x:c>
    </x:row>
    <x:row r="34" ht="20" customHeight="1">
      <x:c r="A34" s="22"/>
      <x:c r="B34" s="22"/>
      <x:c r="C34" s="26"/>
      <x:c r="D34" s="22"/>
      <x:c r="E34" s="26"/>
      <x:c r="F34" s="22"/>
      <x:c r="G34" s="22"/>
      <x:c r="H34" s="28"/>
      <x:c r="I34" s="28"/>
      <x:c r="J34" s="28"/>
      <x:c r="K34" s="22"/>
      <x:c r="L34" s="22"/>
      <x:c r="M34" s="12" t="n">
        <x:f>IF(A34="",0,IF('01_설정'!$B$8="all",1,IF('01_설정'!$B$8="industry_transition",IF(OR(D34="industry",D34="transition"),1,0),IF(D34='01_설정'!$B$8,1,0))))</x:f>
        <x:v>0</x:v>
      </x:c>
      <x:c r="N34" s="12" t="n">
        <x:f>IF(A34="",0,IF(AND(M34=1,J34&lt;='01_설정'!$B$7,IF(H34&gt;0,H34,I34)&gt;0,IF(H34&gt;0,H34,I34)&lt;='01_설정'!$B$6),1,0))</x:f>
        <x:v>0</x:v>
      </x:c>
      <x:c r="O34" s="12" t="n">
        <x:f>IF(H34&gt;0,YEAR(H34),0)</x:f>
        <x:v>0</x:v>
      </x:c>
      <x:c r="P34" s="12" t="n">
        <x:f>IF(A34="",0,_xlfn.MAXIFS('14_적용상태'!$J$6:$J$205,'14_적용상태'!$B$6:$B$205,A34,'14_적용상태'!$I$6:$I$205,1))</x:f>
        <x:v>0</x:v>
      </x:c>
      <x:c r="Q34" s="12" t="n">
        <x:f>IF(P34=0,0,SUMIFS('14_적용상태'!$H$6:$H$205,'14_적용상태'!$J$6:$J$205,P34))</x:f>
        <x:v>0</x:v>
      </x:c>
      <x:c r="R34" s="12" t="n">
        <x:f>IF(AND(N34=1,Q34=1),1,0)</x:f>
        <x:v>0</x:v>
      </x:c>
      <x:c r="S34" s="12" t="n">
        <x:f>IF(AND(N34=1,O34=0),1,0)</x:f>
        <x:v>0</x:v>
      </x:c>
      <x:c r="T34" s="12" t="n">
        <x:f>IF(A34="",0,IF(COUNTIF('10_방법론'!$A$6:$A$105,A34)&gt;1,1,0))</x:f>
        <x:v>0</x:v>
      </x:c>
    </x:row>
    <x:row r="35" ht="20" customHeight="1">
      <x:c r="A35" s="22"/>
      <x:c r="B35" s="22"/>
      <x:c r="C35" s="26"/>
      <x:c r="D35" s="22"/>
      <x:c r="E35" s="26"/>
      <x:c r="F35" s="22"/>
      <x:c r="G35" s="22"/>
      <x:c r="H35" s="28"/>
      <x:c r="I35" s="28"/>
      <x:c r="J35" s="28"/>
      <x:c r="K35" s="22"/>
      <x:c r="L35" s="22"/>
      <x:c r="M35" s="12" t="n">
        <x:f>IF(A35="",0,IF('01_설정'!$B$8="all",1,IF('01_설정'!$B$8="industry_transition",IF(OR(D35="industry",D35="transition"),1,0),IF(D35='01_설정'!$B$8,1,0))))</x:f>
        <x:v>0</x:v>
      </x:c>
      <x:c r="N35" s="12" t="n">
        <x:f>IF(A35="",0,IF(AND(M35=1,J35&lt;='01_설정'!$B$7,IF(H35&gt;0,H35,I35)&gt;0,IF(H35&gt;0,H35,I35)&lt;='01_설정'!$B$6),1,0))</x:f>
        <x:v>0</x:v>
      </x:c>
      <x:c r="O35" s="12" t="n">
        <x:f>IF(H35&gt;0,YEAR(H35),0)</x:f>
        <x:v>0</x:v>
      </x:c>
      <x:c r="P35" s="12" t="n">
        <x:f>IF(A35="",0,_xlfn.MAXIFS('14_적용상태'!$J$6:$J$205,'14_적용상태'!$B$6:$B$205,A35,'14_적용상태'!$I$6:$I$205,1))</x:f>
        <x:v>0</x:v>
      </x:c>
      <x:c r="Q35" s="12" t="n">
        <x:f>IF(P35=0,0,SUMIFS('14_적용상태'!$H$6:$H$205,'14_적용상태'!$J$6:$J$205,P35))</x:f>
        <x:v>0</x:v>
      </x:c>
      <x:c r="R35" s="12" t="n">
        <x:f>IF(AND(N35=1,Q35=1),1,0)</x:f>
        <x:v>0</x:v>
      </x:c>
      <x:c r="S35" s="12" t="n">
        <x:f>IF(AND(N35=1,O35=0),1,0)</x:f>
        <x:v>0</x:v>
      </x:c>
      <x:c r="T35" s="12" t="n">
        <x:f>IF(A35="",0,IF(COUNTIF('10_방법론'!$A$6:$A$105,A35)&gt;1,1,0))</x:f>
        <x:v>0</x:v>
      </x:c>
    </x:row>
    <x:row r="36" ht="20" customHeight="1">
      <x:c r="A36" s="22"/>
      <x:c r="B36" s="22"/>
      <x:c r="C36" s="26"/>
      <x:c r="D36" s="22"/>
      <x:c r="E36" s="26"/>
      <x:c r="F36" s="22"/>
      <x:c r="G36" s="22"/>
      <x:c r="H36" s="28"/>
      <x:c r="I36" s="28"/>
      <x:c r="J36" s="28"/>
      <x:c r="K36" s="22"/>
      <x:c r="L36" s="22"/>
      <x:c r="M36" s="12" t="n">
        <x:f>IF(A36="",0,IF('01_설정'!$B$8="all",1,IF('01_설정'!$B$8="industry_transition",IF(OR(D36="industry",D36="transition"),1,0),IF(D36='01_설정'!$B$8,1,0))))</x:f>
        <x:v>0</x:v>
      </x:c>
      <x:c r="N36" s="12" t="n">
        <x:f>IF(A36="",0,IF(AND(M36=1,J36&lt;='01_설정'!$B$7,IF(H36&gt;0,H36,I36)&gt;0,IF(H36&gt;0,H36,I36)&lt;='01_설정'!$B$6),1,0))</x:f>
        <x:v>0</x:v>
      </x:c>
      <x:c r="O36" s="12" t="n">
        <x:f>IF(H36&gt;0,YEAR(H36),0)</x:f>
        <x:v>0</x:v>
      </x:c>
      <x:c r="P36" s="12" t="n">
        <x:f>IF(A36="",0,_xlfn.MAXIFS('14_적용상태'!$J$6:$J$205,'14_적용상태'!$B$6:$B$205,A36,'14_적용상태'!$I$6:$I$205,1))</x:f>
        <x:v>0</x:v>
      </x:c>
      <x:c r="Q36" s="12" t="n">
        <x:f>IF(P36=0,0,SUMIFS('14_적용상태'!$H$6:$H$205,'14_적용상태'!$J$6:$J$205,P36))</x:f>
        <x:v>0</x:v>
      </x:c>
      <x:c r="R36" s="12" t="n">
        <x:f>IF(AND(N36=1,Q36=1),1,0)</x:f>
        <x:v>0</x:v>
      </x:c>
      <x:c r="S36" s="12" t="n">
        <x:f>IF(AND(N36=1,O36=0),1,0)</x:f>
        <x:v>0</x:v>
      </x:c>
      <x:c r="T36" s="12" t="n">
        <x:f>IF(A36="",0,IF(COUNTIF('10_방법론'!$A$6:$A$105,A36)&gt;1,1,0))</x:f>
        <x:v>0</x:v>
      </x:c>
    </x:row>
    <x:row r="37" ht="20" customHeight="1">
      <x:c r="A37" s="22"/>
      <x:c r="B37" s="22"/>
      <x:c r="C37" s="26"/>
      <x:c r="D37" s="22"/>
      <x:c r="E37" s="26"/>
      <x:c r="F37" s="22"/>
      <x:c r="G37" s="22"/>
      <x:c r="H37" s="28"/>
      <x:c r="I37" s="28"/>
      <x:c r="J37" s="28"/>
      <x:c r="K37" s="22"/>
      <x:c r="L37" s="22"/>
      <x:c r="M37" s="12" t="n">
        <x:f>IF(A37="",0,IF('01_설정'!$B$8="all",1,IF('01_설정'!$B$8="industry_transition",IF(OR(D37="industry",D37="transition"),1,0),IF(D37='01_설정'!$B$8,1,0))))</x:f>
        <x:v>0</x:v>
      </x:c>
      <x:c r="N37" s="12" t="n">
        <x:f>IF(A37="",0,IF(AND(M37=1,J37&lt;='01_설정'!$B$7,IF(H37&gt;0,H37,I37)&gt;0,IF(H37&gt;0,H37,I37)&lt;='01_설정'!$B$6),1,0))</x:f>
        <x:v>0</x:v>
      </x:c>
      <x:c r="O37" s="12" t="n">
        <x:f>IF(H37&gt;0,YEAR(H37),0)</x:f>
        <x:v>0</x:v>
      </x:c>
      <x:c r="P37" s="12" t="n">
        <x:f>IF(A37="",0,_xlfn.MAXIFS('14_적용상태'!$J$6:$J$205,'14_적용상태'!$B$6:$B$205,A37,'14_적용상태'!$I$6:$I$205,1))</x:f>
        <x:v>0</x:v>
      </x:c>
      <x:c r="Q37" s="12" t="n">
        <x:f>IF(P37=0,0,SUMIFS('14_적용상태'!$H$6:$H$205,'14_적용상태'!$J$6:$J$205,P37))</x:f>
        <x:v>0</x:v>
      </x:c>
      <x:c r="R37" s="12" t="n">
        <x:f>IF(AND(N37=1,Q37=1),1,0)</x:f>
        <x:v>0</x:v>
      </x:c>
      <x:c r="S37" s="12" t="n">
        <x:f>IF(AND(N37=1,O37=0),1,0)</x:f>
        <x:v>0</x:v>
      </x:c>
      <x:c r="T37" s="12" t="n">
        <x:f>IF(A37="",0,IF(COUNTIF('10_방법론'!$A$6:$A$105,A37)&gt;1,1,0))</x:f>
        <x:v>0</x:v>
      </x:c>
    </x:row>
    <x:row r="38" ht="20" customHeight="1">
      <x:c r="A38" s="22"/>
      <x:c r="B38" s="22"/>
      <x:c r="C38" s="26"/>
      <x:c r="D38" s="22"/>
      <x:c r="E38" s="26"/>
      <x:c r="F38" s="22"/>
      <x:c r="G38" s="22"/>
      <x:c r="H38" s="28"/>
      <x:c r="I38" s="28"/>
      <x:c r="J38" s="28"/>
      <x:c r="K38" s="22"/>
      <x:c r="L38" s="22"/>
      <x:c r="M38" s="12" t="n">
        <x:f>IF(A38="",0,IF('01_설정'!$B$8="all",1,IF('01_설정'!$B$8="industry_transition",IF(OR(D38="industry",D38="transition"),1,0),IF(D38='01_설정'!$B$8,1,0))))</x:f>
        <x:v>0</x:v>
      </x:c>
      <x:c r="N38" s="12" t="n">
        <x:f>IF(A38="",0,IF(AND(M38=1,J38&lt;='01_설정'!$B$7,IF(H38&gt;0,H38,I38)&gt;0,IF(H38&gt;0,H38,I38)&lt;='01_설정'!$B$6),1,0))</x:f>
        <x:v>0</x:v>
      </x:c>
      <x:c r="O38" s="12" t="n">
        <x:f>IF(H38&gt;0,YEAR(H38),0)</x:f>
        <x:v>0</x:v>
      </x:c>
      <x:c r="P38" s="12" t="n">
        <x:f>IF(A38="",0,_xlfn.MAXIFS('14_적용상태'!$J$6:$J$205,'14_적용상태'!$B$6:$B$205,A38,'14_적용상태'!$I$6:$I$205,1))</x:f>
        <x:v>0</x:v>
      </x:c>
      <x:c r="Q38" s="12" t="n">
        <x:f>IF(P38=0,0,SUMIFS('14_적용상태'!$H$6:$H$205,'14_적용상태'!$J$6:$J$205,P38))</x:f>
        <x:v>0</x:v>
      </x:c>
      <x:c r="R38" s="12" t="n">
        <x:f>IF(AND(N38=1,Q38=1),1,0)</x:f>
        <x:v>0</x:v>
      </x:c>
      <x:c r="S38" s="12" t="n">
        <x:f>IF(AND(N38=1,O38=0),1,0)</x:f>
        <x:v>0</x:v>
      </x:c>
      <x:c r="T38" s="12" t="n">
        <x:f>IF(A38="",0,IF(COUNTIF('10_방법론'!$A$6:$A$105,A38)&gt;1,1,0))</x:f>
        <x:v>0</x:v>
      </x:c>
    </x:row>
    <x:row r="39" ht="20" customHeight="1">
      <x:c r="A39" s="22"/>
      <x:c r="B39" s="22"/>
      <x:c r="C39" s="26"/>
      <x:c r="D39" s="22"/>
      <x:c r="E39" s="26"/>
      <x:c r="F39" s="22"/>
      <x:c r="G39" s="22"/>
      <x:c r="H39" s="28"/>
      <x:c r="I39" s="28"/>
      <x:c r="J39" s="28"/>
      <x:c r="K39" s="22"/>
      <x:c r="L39" s="22"/>
      <x:c r="M39" s="12" t="n">
        <x:f>IF(A39="",0,IF('01_설정'!$B$8="all",1,IF('01_설정'!$B$8="industry_transition",IF(OR(D39="industry",D39="transition"),1,0),IF(D39='01_설정'!$B$8,1,0))))</x:f>
        <x:v>0</x:v>
      </x:c>
      <x:c r="N39" s="12" t="n">
        <x:f>IF(A39="",0,IF(AND(M39=1,J39&lt;='01_설정'!$B$7,IF(H39&gt;0,H39,I39)&gt;0,IF(H39&gt;0,H39,I39)&lt;='01_설정'!$B$6),1,0))</x:f>
        <x:v>0</x:v>
      </x:c>
      <x:c r="O39" s="12" t="n">
        <x:f>IF(H39&gt;0,YEAR(H39),0)</x:f>
        <x:v>0</x:v>
      </x:c>
      <x:c r="P39" s="12" t="n">
        <x:f>IF(A39="",0,_xlfn.MAXIFS('14_적용상태'!$J$6:$J$205,'14_적용상태'!$B$6:$B$205,A39,'14_적용상태'!$I$6:$I$205,1))</x:f>
        <x:v>0</x:v>
      </x:c>
      <x:c r="Q39" s="12" t="n">
        <x:f>IF(P39=0,0,SUMIFS('14_적용상태'!$H$6:$H$205,'14_적용상태'!$J$6:$J$205,P39))</x:f>
        <x:v>0</x:v>
      </x:c>
      <x:c r="R39" s="12" t="n">
        <x:f>IF(AND(N39=1,Q39=1),1,0)</x:f>
        <x:v>0</x:v>
      </x:c>
      <x:c r="S39" s="12" t="n">
        <x:f>IF(AND(N39=1,O39=0),1,0)</x:f>
        <x:v>0</x:v>
      </x:c>
      <x:c r="T39" s="12" t="n">
        <x:f>IF(A39="",0,IF(COUNTIF('10_방법론'!$A$6:$A$105,A39)&gt;1,1,0))</x:f>
        <x:v>0</x:v>
      </x:c>
    </x:row>
    <x:row r="40" ht="20" customHeight="1">
      <x:c r="A40" s="22"/>
      <x:c r="B40" s="22"/>
      <x:c r="C40" s="26"/>
      <x:c r="D40" s="22"/>
      <x:c r="E40" s="26"/>
      <x:c r="F40" s="22"/>
      <x:c r="G40" s="22"/>
      <x:c r="H40" s="28"/>
      <x:c r="I40" s="28"/>
      <x:c r="J40" s="28"/>
      <x:c r="K40" s="22"/>
      <x:c r="L40" s="22"/>
      <x:c r="M40" s="12" t="n">
        <x:f>IF(A40="",0,IF('01_설정'!$B$8="all",1,IF('01_설정'!$B$8="industry_transition",IF(OR(D40="industry",D40="transition"),1,0),IF(D40='01_설정'!$B$8,1,0))))</x:f>
        <x:v>0</x:v>
      </x:c>
      <x:c r="N40" s="12" t="n">
        <x:f>IF(A40="",0,IF(AND(M40=1,J40&lt;='01_설정'!$B$7,IF(H40&gt;0,H40,I40)&gt;0,IF(H40&gt;0,H40,I40)&lt;='01_설정'!$B$6),1,0))</x:f>
        <x:v>0</x:v>
      </x:c>
      <x:c r="O40" s="12" t="n">
        <x:f>IF(H40&gt;0,YEAR(H40),0)</x:f>
        <x:v>0</x:v>
      </x:c>
      <x:c r="P40" s="12" t="n">
        <x:f>IF(A40="",0,_xlfn.MAXIFS('14_적용상태'!$J$6:$J$205,'14_적용상태'!$B$6:$B$205,A40,'14_적용상태'!$I$6:$I$205,1))</x:f>
        <x:v>0</x:v>
      </x:c>
      <x:c r="Q40" s="12" t="n">
        <x:f>IF(P40=0,0,SUMIFS('14_적용상태'!$H$6:$H$205,'14_적용상태'!$J$6:$J$205,P40))</x:f>
        <x:v>0</x:v>
      </x:c>
      <x:c r="R40" s="12" t="n">
        <x:f>IF(AND(N40=1,Q40=1),1,0)</x:f>
        <x:v>0</x:v>
      </x:c>
      <x:c r="S40" s="12" t="n">
        <x:f>IF(AND(N40=1,O40=0),1,0)</x:f>
        <x:v>0</x:v>
      </x:c>
      <x:c r="T40" s="12" t="n">
        <x:f>IF(A40="",0,IF(COUNTIF('10_방법론'!$A$6:$A$105,A40)&gt;1,1,0))</x:f>
        <x:v>0</x:v>
      </x:c>
    </x:row>
    <x:row r="41" ht="20" customHeight="1">
      <x:c r="A41" s="22"/>
      <x:c r="B41" s="22"/>
      <x:c r="C41" s="26"/>
      <x:c r="D41" s="22"/>
      <x:c r="E41" s="26"/>
      <x:c r="F41" s="22"/>
      <x:c r="G41" s="22"/>
      <x:c r="H41" s="28"/>
      <x:c r="I41" s="28"/>
      <x:c r="J41" s="28"/>
      <x:c r="K41" s="22"/>
      <x:c r="L41" s="22"/>
      <x:c r="M41" s="12" t="n">
        <x:f>IF(A41="",0,IF('01_설정'!$B$8="all",1,IF('01_설정'!$B$8="industry_transition",IF(OR(D41="industry",D41="transition"),1,0),IF(D41='01_설정'!$B$8,1,0))))</x:f>
        <x:v>0</x:v>
      </x:c>
      <x:c r="N41" s="12" t="n">
        <x:f>IF(A41="",0,IF(AND(M41=1,J41&lt;='01_설정'!$B$7,IF(H41&gt;0,H41,I41)&gt;0,IF(H41&gt;0,H41,I41)&lt;='01_설정'!$B$6),1,0))</x:f>
        <x:v>0</x:v>
      </x:c>
      <x:c r="O41" s="12" t="n">
        <x:f>IF(H41&gt;0,YEAR(H41),0)</x:f>
        <x:v>0</x:v>
      </x:c>
      <x:c r="P41" s="12" t="n">
        <x:f>IF(A41="",0,_xlfn.MAXIFS('14_적용상태'!$J$6:$J$205,'14_적용상태'!$B$6:$B$205,A41,'14_적용상태'!$I$6:$I$205,1))</x:f>
        <x:v>0</x:v>
      </x:c>
      <x:c r="Q41" s="12" t="n">
        <x:f>IF(P41=0,0,SUMIFS('14_적용상태'!$H$6:$H$205,'14_적용상태'!$J$6:$J$205,P41))</x:f>
        <x:v>0</x:v>
      </x:c>
      <x:c r="R41" s="12" t="n">
        <x:f>IF(AND(N41=1,Q41=1),1,0)</x:f>
        <x:v>0</x:v>
      </x:c>
      <x:c r="S41" s="12" t="n">
        <x:f>IF(AND(N41=1,O41=0),1,0)</x:f>
        <x:v>0</x:v>
      </x:c>
      <x:c r="T41" s="12" t="n">
        <x:f>IF(A41="",0,IF(COUNTIF('10_방법론'!$A$6:$A$105,A41)&gt;1,1,0))</x:f>
        <x:v>0</x:v>
      </x:c>
    </x:row>
    <x:row r="42" ht="20" customHeight="1">
      <x:c r="A42" s="22"/>
      <x:c r="B42" s="22"/>
      <x:c r="C42" s="26"/>
      <x:c r="D42" s="22"/>
      <x:c r="E42" s="26"/>
      <x:c r="F42" s="22"/>
      <x:c r="G42" s="22"/>
      <x:c r="H42" s="28"/>
      <x:c r="I42" s="28"/>
      <x:c r="J42" s="28"/>
      <x:c r="K42" s="22"/>
      <x:c r="L42" s="22"/>
      <x:c r="M42" s="12" t="n">
        <x:f>IF(A42="",0,IF('01_설정'!$B$8="all",1,IF('01_설정'!$B$8="industry_transition",IF(OR(D42="industry",D42="transition"),1,0),IF(D42='01_설정'!$B$8,1,0))))</x:f>
        <x:v>0</x:v>
      </x:c>
      <x:c r="N42" s="12" t="n">
        <x:f>IF(A42="",0,IF(AND(M42=1,J42&lt;='01_설정'!$B$7,IF(H42&gt;0,H42,I42)&gt;0,IF(H42&gt;0,H42,I42)&lt;='01_설정'!$B$6),1,0))</x:f>
        <x:v>0</x:v>
      </x:c>
      <x:c r="O42" s="12" t="n">
        <x:f>IF(H42&gt;0,YEAR(H42),0)</x:f>
        <x:v>0</x:v>
      </x:c>
      <x:c r="P42" s="12" t="n">
        <x:f>IF(A42="",0,_xlfn.MAXIFS('14_적용상태'!$J$6:$J$205,'14_적용상태'!$B$6:$B$205,A42,'14_적용상태'!$I$6:$I$205,1))</x:f>
        <x:v>0</x:v>
      </x:c>
      <x:c r="Q42" s="12" t="n">
        <x:f>IF(P42=0,0,SUMIFS('14_적용상태'!$H$6:$H$205,'14_적용상태'!$J$6:$J$205,P42))</x:f>
        <x:v>0</x:v>
      </x:c>
      <x:c r="R42" s="12" t="n">
        <x:f>IF(AND(N42=1,Q42=1),1,0)</x:f>
        <x:v>0</x:v>
      </x:c>
      <x:c r="S42" s="12" t="n">
        <x:f>IF(AND(N42=1,O42=0),1,0)</x:f>
        <x:v>0</x:v>
      </x:c>
      <x:c r="T42" s="12" t="n">
        <x:f>IF(A42="",0,IF(COUNTIF('10_방법론'!$A$6:$A$105,A42)&gt;1,1,0))</x:f>
        <x:v>0</x:v>
      </x:c>
    </x:row>
    <x:row r="43" ht="20" customHeight="1">
      <x:c r="A43" s="22"/>
      <x:c r="B43" s="22"/>
      <x:c r="C43" s="26"/>
      <x:c r="D43" s="22"/>
      <x:c r="E43" s="26"/>
      <x:c r="F43" s="22"/>
      <x:c r="G43" s="22"/>
      <x:c r="H43" s="28"/>
      <x:c r="I43" s="28"/>
      <x:c r="J43" s="28"/>
      <x:c r="K43" s="22"/>
      <x:c r="L43" s="22"/>
      <x:c r="M43" s="12" t="n">
        <x:f>IF(A43="",0,IF('01_설정'!$B$8="all",1,IF('01_설정'!$B$8="industry_transition",IF(OR(D43="industry",D43="transition"),1,0),IF(D43='01_설정'!$B$8,1,0))))</x:f>
        <x:v>0</x:v>
      </x:c>
      <x:c r="N43" s="12" t="n">
        <x:f>IF(A43="",0,IF(AND(M43=1,J43&lt;='01_설정'!$B$7,IF(H43&gt;0,H43,I43)&gt;0,IF(H43&gt;0,H43,I43)&lt;='01_설정'!$B$6),1,0))</x:f>
        <x:v>0</x:v>
      </x:c>
      <x:c r="O43" s="12" t="n">
        <x:f>IF(H43&gt;0,YEAR(H43),0)</x:f>
        <x:v>0</x:v>
      </x:c>
      <x:c r="P43" s="12" t="n">
        <x:f>IF(A43="",0,_xlfn.MAXIFS('14_적용상태'!$J$6:$J$205,'14_적용상태'!$B$6:$B$205,A43,'14_적용상태'!$I$6:$I$205,1))</x:f>
        <x:v>0</x:v>
      </x:c>
      <x:c r="Q43" s="12" t="n">
        <x:f>IF(P43=0,0,SUMIFS('14_적용상태'!$H$6:$H$205,'14_적용상태'!$J$6:$J$205,P43))</x:f>
        <x:v>0</x:v>
      </x:c>
      <x:c r="R43" s="12" t="n">
        <x:f>IF(AND(N43=1,Q43=1),1,0)</x:f>
        <x:v>0</x:v>
      </x:c>
      <x:c r="S43" s="12" t="n">
        <x:f>IF(AND(N43=1,O43=0),1,0)</x:f>
        <x:v>0</x:v>
      </x:c>
      <x:c r="T43" s="12" t="n">
        <x:f>IF(A43="",0,IF(COUNTIF('10_방법론'!$A$6:$A$105,A43)&gt;1,1,0))</x:f>
        <x:v>0</x:v>
      </x:c>
    </x:row>
    <x:row r="44" ht="20" customHeight="1">
      <x:c r="A44" s="22"/>
      <x:c r="B44" s="22"/>
      <x:c r="C44" s="26"/>
      <x:c r="D44" s="22"/>
      <x:c r="E44" s="26"/>
      <x:c r="F44" s="22"/>
      <x:c r="G44" s="22"/>
      <x:c r="H44" s="28"/>
      <x:c r="I44" s="28"/>
      <x:c r="J44" s="28"/>
      <x:c r="K44" s="22"/>
      <x:c r="L44" s="22"/>
      <x:c r="M44" s="12" t="n">
        <x:f>IF(A44="",0,IF('01_설정'!$B$8="all",1,IF('01_설정'!$B$8="industry_transition",IF(OR(D44="industry",D44="transition"),1,0),IF(D44='01_설정'!$B$8,1,0))))</x:f>
        <x:v>0</x:v>
      </x:c>
      <x:c r="N44" s="12" t="n">
        <x:f>IF(A44="",0,IF(AND(M44=1,J44&lt;='01_설정'!$B$7,IF(H44&gt;0,H44,I44)&gt;0,IF(H44&gt;0,H44,I44)&lt;='01_설정'!$B$6),1,0))</x:f>
        <x:v>0</x:v>
      </x:c>
      <x:c r="O44" s="12" t="n">
        <x:f>IF(H44&gt;0,YEAR(H44),0)</x:f>
        <x:v>0</x:v>
      </x:c>
      <x:c r="P44" s="12" t="n">
        <x:f>IF(A44="",0,_xlfn.MAXIFS('14_적용상태'!$J$6:$J$205,'14_적용상태'!$B$6:$B$205,A44,'14_적용상태'!$I$6:$I$205,1))</x:f>
        <x:v>0</x:v>
      </x:c>
      <x:c r="Q44" s="12" t="n">
        <x:f>IF(P44=0,0,SUMIFS('14_적용상태'!$H$6:$H$205,'14_적용상태'!$J$6:$J$205,P44))</x:f>
        <x:v>0</x:v>
      </x:c>
      <x:c r="R44" s="12" t="n">
        <x:f>IF(AND(N44=1,Q44=1),1,0)</x:f>
        <x:v>0</x:v>
      </x:c>
      <x:c r="S44" s="12" t="n">
        <x:f>IF(AND(N44=1,O44=0),1,0)</x:f>
        <x:v>0</x:v>
      </x:c>
      <x:c r="T44" s="12" t="n">
        <x:f>IF(A44="",0,IF(COUNTIF('10_방법론'!$A$6:$A$105,A44)&gt;1,1,0))</x:f>
        <x:v>0</x:v>
      </x:c>
    </x:row>
    <x:row r="45" ht="20" customHeight="1">
      <x:c r="A45" s="22"/>
      <x:c r="B45" s="22"/>
      <x:c r="C45" s="26"/>
      <x:c r="D45" s="22"/>
      <x:c r="E45" s="26"/>
      <x:c r="F45" s="22"/>
      <x:c r="G45" s="22"/>
      <x:c r="H45" s="28"/>
      <x:c r="I45" s="28"/>
      <x:c r="J45" s="28"/>
      <x:c r="K45" s="22"/>
      <x:c r="L45" s="22"/>
      <x:c r="M45" s="12" t="n">
        <x:f>IF(A45="",0,IF('01_설정'!$B$8="all",1,IF('01_설정'!$B$8="industry_transition",IF(OR(D45="industry",D45="transition"),1,0),IF(D45='01_설정'!$B$8,1,0))))</x:f>
        <x:v>0</x:v>
      </x:c>
      <x:c r="N45" s="12" t="n">
        <x:f>IF(A45="",0,IF(AND(M45=1,J45&lt;='01_설정'!$B$7,IF(H45&gt;0,H45,I45)&gt;0,IF(H45&gt;0,H45,I45)&lt;='01_설정'!$B$6),1,0))</x:f>
        <x:v>0</x:v>
      </x:c>
      <x:c r="O45" s="12" t="n">
        <x:f>IF(H45&gt;0,YEAR(H45),0)</x:f>
        <x:v>0</x:v>
      </x:c>
      <x:c r="P45" s="12" t="n">
        <x:f>IF(A45="",0,_xlfn.MAXIFS('14_적용상태'!$J$6:$J$205,'14_적용상태'!$B$6:$B$205,A45,'14_적용상태'!$I$6:$I$205,1))</x:f>
        <x:v>0</x:v>
      </x:c>
      <x:c r="Q45" s="12" t="n">
        <x:f>IF(P45=0,0,SUMIFS('14_적용상태'!$H$6:$H$205,'14_적용상태'!$J$6:$J$205,P45))</x:f>
        <x:v>0</x:v>
      </x:c>
      <x:c r="R45" s="12" t="n">
        <x:f>IF(AND(N45=1,Q45=1),1,0)</x:f>
        <x:v>0</x:v>
      </x:c>
      <x:c r="S45" s="12" t="n">
        <x:f>IF(AND(N45=1,O45=0),1,0)</x:f>
        <x:v>0</x:v>
      </x:c>
      <x:c r="T45" s="12" t="n">
        <x:f>IF(A45="",0,IF(COUNTIF('10_방법론'!$A$6:$A$105,A45)&gt;1,1,0))</x:f>
        <x:v>0</x:v>
      </x:c>
    </x:row>
    <x:row r="46" ht="20" customHeight="1">
      <x:c r="A46" s="22"/>
      <x:c r="B46" s="22"/>
      <x:c r="C46" s="26"/>
      <x:c r="D46" s="22"/>
      <x:c r="E46" s="26"/>
      <x:c r="F46" s="22"/>
      <x:c r="G46" s="22"/>
      <x:c r="H46" s="28"/>
      <x:c r="I46" s="28"/>
      <x:c r="J46" s="28"/>
      <x:c r="K46" s="22"/>
      <x:c r="L46" s="22"/>
      <x:c r="M46" s="12" t="n">
        <x:f>IF(A46="",0,IF('01_설정'!$B$8="all",1,IF('01_설정'!$B$8="industry_transition",IF(OR(D46="industry",D46="transition"),1,0),IF(D46='01_설정'!$B$8,1,0))))</x:f>
        <x:v>0</x:v>
      </x:c>
      <x:c r="N46" s="12" t="n">
        <x:f>IF(A46="",0,IF(AND(M46=1,J46&lt;='01_설정'!$B$7,IF(H46&gt;0,H46,I46)&gt;0,IF(H46&gt;0,H46,I46)&lt;='01_설정'!$B$6),1,0))</x:f>
        <x:v>0</x:v>
      </x:c>
      <x:c r="O46" s="12" t="n">
        <x:f>IF(H46&gt;0,YEAR(H46),0)</x:f>
        <x:v>0</x:v>
      </x:c>
      <x:c r="P46" s="12" t="n">
        <x:f>IF(A46="",0,_xlfn.MAXIFS('14_적용상태'!$J$6:$J$205,'14_적용상태'!$B$6:$B$205,A46,'14_적용상태'!$I$6:$I$205,1))</x:f>
        <x:v>0</x:v>
      </x:c>
      <x:c r="Q46" s="12" t="n">
        <x:f>IF(P46=0,0,SUMIFS('14_적용상태'!$H$6:$H$205,'14_적용상태'!$J$6:$J$205,P46))</x:f>
        <x:v>0</x:v>
      </x:c>
      <x:c r="R46" s="12" t="n">
        <x:f>IF(AND(N46=1,Q46=1),1,0)</x:f>
        <x:v>0</x:v>
      </x:c>
      <x:c r="S46" s="12" t="n">
        <x:f>IF(AND(N46=1,O46=0),1,0)</x:f>
        <x:v>0</x:v>
      </x:c>
      <x:c r="T46" s="12" t="n">
        <x:f>IF(A46="",0,IF(COUNTIF('10_방법론'!$A$6:$A$105,A46)&gt;1,1,0))</x:f>
        <x:v>0</x:v>
      </x:c>
    </x:row>
    <x:row r="47" ht="20" customHeight="1">
      <x:c r="A47" s="22"/>
      <x:c r="B47" s="22"/>
      <x:c r="C47" s="26"/>
      <x:c r="D47" s="22"/>
      <x:c r="E47" s="26"/>
      <x:c r="F47" s="22"/>
      <x:c r="G47" s="22"/>
      <x:c r="H47" s="28"/>
      <x:c r="I47" s="28"/>
      <x:c r="J47" s="28"/>
      <x:c r="K47" s="22"/>
      <x:c r="L47" s="22"/>
      <x:c r="M47" s="12" t="n">
        <x:f>IF(A47="",0,IF('01_설정'!$B$8="all",1,IF('01_설정'!$B$8="industry_transition",IF(OR(D47="industry",D47="transition"),1,0),IF(D47='01_설정'!$B$8,1,0))))</x:f>
        <x:v>0</x:v>
      </x:c>
      <x:c r="N47" s="12" t="n">
        <x:f>IF(A47="",0,IF(AND(M47=1,J47&lt;='01_설정'!$B$7,IF(H47&gt;0,H47,I47)&gt;0,IF(H47&gt;0,H47,I47)&lt;='01_설정'!$B$6),1,0))</x:f>
        <x:v>0</x:v>
      </x:c>
      <x:c r="O47" s="12" t="n">
        <x:f>IF(H47&gt;0,YEAR(H47),0)</x:f>
        <x:v>0</x:v>
      </x:c>
      <x:c r="P47" s="12" t="n">
        <x:f>IF(A47="",0,_xlfn.MAXIFS('14_적용상태'!$J$6:$J$205,'14_적용상태'!$B$6:$B$205,A47,'14_적용상태'!$I$6:$I$205,1))</x:f>
        <x:v>0</x:v>
      </x:c>
      <x:c r="Q47" s="12" t="n">
        <x:f>IF(P47=0,0,SUMIFS('14_적용상태'!$H$6:$H$205,'14_적용상태'!$J$6:$J$205,P47))</x:f>
        <x:v>0</x:v>
      </x:c>
      <x:c r="R47" s="12" t="n">
        <x:f>IF(AND(N47=1,Q47=1),1,0)</x:f>
        <x:v>0</x:v>
      </x:c>
      <x:c r="S47" s="12" t="n">
        <x:f>IF(AND(N47=1,O47=0),1,0)</x:f>
        <x:v>0</x:v>
      </x:c>
      <x:c r="T47" s="12" t="n">
        <x:f>IF(A47="",0,IF(COUNTIF('10_방법론'!$A$6:$A$105,A47)&gt;1,1,0))</x:f>
        <x:v>0</x:v>
      </x:c>
    </x:row>
    <x:row r="48" ht="20" customHeight="1">
      <x:c r="A48" s="22"/>
      <x:c r="B48" s="22"/>
      <x:c r="C48" s="26"/>
      <x:c r="D48" s="22"/>
      <x:c r="E48" s="26"/>
      <x:c r="F48" s="22"/>
      <x:c r="G48" s="22"/>
      <x:c r="H48" s="28"/>
      <x:c r="I48" s="28"/>
      <x:c r="J48" s="28"/>
      <x:c r="K48" s="22"/>
      <x:c r="L48" s="22"/>
      <x:c r="M48" s="12" t="n">
        <x:f>IF(A48="",0,IF('01_설정'!$B$8="all",1,IF('01_설정'!$B$8="industry_transition",IF(OR(D48="industry",D48="transition"),1,0),IF(D48='01_설정'!$B$8,1,0))))</x:f>
        <x:v>0</x:v>
      </x:c>
      <x:c r="N48" s="12" t="n">
        <x:f>IF(A48="",0,IF(AND(M48=1,J48&lt;='01_설정'!$B$7,IF(H48&gt;0,H48,I48)&gt;0,IF(H48&gt;0,H48,I48)&lt;='01_설정'!$B$6),1,0))</x:f>
        <x:v>0</x:v>
      </x:c>
      <x:c r="O48" s="12" t="n">
        <x:f>IF(H48&gt;0,YEAR(H48),0)</x:f>
        <x:v>0</x:v>
      </x:c>
      <x:c r="P48" s="12" t="n">
        <x:f>IF(A48="",0,_xlfn.MAXIFS('14_적용상태'!$J$6:$J$205,'14_적용상태'!$B$6:$B$205,A48,'14_적용상태'!$I$6:$I$205,1))</x:f>
        <x:v>0</x:v>
      </x:c>
      <x:c r="Q48" s="12" t="n">
        <x:f>IF(P48=0,0,SUMIFS('14_적용상태'!$H$6:$H$205,'14_적용상태'!$J$6:$J$205,P48))</x:f>
        <x:v>0</x:v>
      </x:c>
      <x:c r="R48" s="12" t="n">
        <x:f>IF(AND(N48=1,Q48=1),1,0)</x:f>
        <x:v>0</x:v>
      </x:c>
      <x:c r="S48" s="12" t="n">
        <x:f>IF(AND(N48=1,O48=0),1,0)</x:f>
        <x:v>0</x:v>
      </x:c>
      <x:c r="T48" s="12" t="n">
        <x:f>IF(A48="",0,IF(COUNTIF('10_방법론'!$A$6:$A$105,A48)&gt;1,1,0))</x:f>
        <x:v>0</x:v>
      </x:c>
    </x:row>
    <x:row r="49" ht="20" customHeight="1">
      <x:c r="A49" s="22"/>
      <x:c r="B49" s="22"/>
      <x:c r="C49" s="26"/>
      <x:c r="D49" s="22"/>
      <x:c r="E49" s="26"/>
      <x:c r="F49" s="22"/>
      <x:c r="G49" s="22"/>
      <x:c r="H49" s="28"/>
      <x:c r="I49" s="28"/>
      <x:c r="J49" s="28"/>
      <x:c r="K49" s="22"/>
      <x:c r="L49" s="22"/>
      <x:c r="M49" s="12" t="n">
        <x:f>IF(A49="",0,IF('01_설정'!$B$8="all",1,IF('01_설정'!$B$8="industry_transition",IF(OR(D49="industry",D49="transition"),1,0),IF(D49='01_설정'!$B$8,1,0))))</x:f>
        <x:v>0</x:v>
      </x:c>
      <x:c r="N49" s="12" t="n">
        <x:f>IF(A49="",0,IF(AND(M49=1,J49&lt;='01_설정'!$B$7,IF(H49&gt;0,H49,I49)&gt;0,IF(H49&gt;0,H49,I49)&lt;='01_설정'!$B$6),1,0))</x:f>
        <x:v>0</x:v>
      </x:c>
      <x:c r="O49" s="12" t="n">
        <x:f>IF(H49&gt;0,YEAR(H49),0)</x:f>
        <x:v>0</x:v>
      </x:c>
      <x:c r="P49" s="12" t="n">
        <x:f>IF(A49="",0,_xlfn.MAXIFS('14_적용상태'!$J$6:$J$205,'14_적용상태'!$B$6:$B$205,A49,'14_적용상태'!$I$6:$I$205,1))</x:f>
        <x:v>0</x:v>
      </x:c>
      <x:c r="Q49" s="12" t="n">
        <x:f>IF(P49=0,0,SUMIFS('14_적용상태'!$H$6:$H$205,'14_적용상태'!$J$6:$J$205,P49))</x:f>
        <x:v>0</x:v>
      </x:c>
      <x:c r="R49" s="12" t="n">
        <x:f>IF(AND(N49=1,Q49=1),1,0)</x:f>
        <x:v>0</x:v>
      </x:c>
      <x:c r="S49" s="12" t="n">
        <x:f>IF(AND(N49=1,O49=0),1,0)</x:f>
        <x:v>0</x:v>
      </x:c>
      <x:c r="T49" s="12" t="n">
        <x:f>IF(A49="",0,IF(COUNTIF('10_방법론'!$A$6:$A$105,A49)&gt;1,1,0))</x:f>
        <x:v>0</x:v>
      </x:c>
    </x:row>
    <x:row r="50" ht="20" customHeight="1">
      <x:c r="A50" s="22"/>
      <x:c r="B50" s="22"/>
      <x:c r="C50" s="26"/>
      <x:c r="D50" s="22"/>
      <x:c r="E50" s="26"/>
      <x:c r="F50" s="22"/>
      <x:c r="G50" s="22"/>
      <x:c r="H50" s="28"/>
      <x:c r="I50" s="28"/>
      <x:c r="J50" s="28"/>
      <x:c r="K50" s="22"/>
      <x:c r="L50" s="22"/>
      <x:c r="M50" s="12" t="n">
        <x:f>IF(A50="",0,IF('01_설정'!$B$8="all",1,IF('01_설정'!$B$8="industry_transition",IF(OR(D50="industry",D50="transition"),1,0),IF(D50='01_설정'!$B$8,1,0))))</x:f>
        <x:v>0</x:v>
      </x:c>
      <x:c r="N50" s="12" t="n">
        <x:f>IF(A50="",0,IF(AND(M50=1,J50&lt;='01_설정'!$B$7,IF(H50&gt;0,H50,I50)&gt;0,IF(H50&gt;0,H50,I50)&lt;='01_설정'!$B$6),1,0))</x:f>
        <x:v>0</x:v>
      </x:c>
      <x:c r="O50" s="12" t="n">
        <x:f>IF(H50&gt;0,YEAR(H50),0)</x:f>
        <x:v>0</x:v>
      </x:c>
      <x:c r="P50" s="12" t="n">
        <x:f>IF(A50="",0,_xlfn.MAXIFS('14_적용상태'!$J$6:$J$205,'14_적용상태'!$B$6:$B$205,A50,'14_적용상태'!$I$6:$I$205,1))</x:f>
        <x:v>0</x:v>
      </x:c>
      <x:c r="Q50" s="12" t="n">
        <x:f>IF(P50=0,0,SUMIFS('14_적용상태'!$H$6:$H$205,'14_적용상태'!$J$6:$J$205,P50))</x:f>
        <x:v>0</x:v>
      </x:c>
      <x:c r="R50" s="12" t="n">
        <x:f>IF(AND(N50=1,Q50=1),1,0)</x:f>
        <x:v>0</x:v>
      </x:c>
      <x:c r="S50" s="12" t="n">
        <x:f>IF(AND(N50=1,O50=0),1,0)</x:f>
        <x:v>0</x:v>
      </x:c>
      <x:c r="T50" s="12" t="n">
        <x:f>IF(A50="",0,IF(COUNTIF('10_방법론'!$A$6:$A$105,A50)&gt;1,1,0))</x:f>
        <x:v>0</x:v>
      </x:c>
    </x:row>
    <x:row r="51" ht="20" customHeight="1">
      <x:c r="A51" s="22"/>
      <x:c r="B51" s="22"/>
      <x:c r="C51" s="26"/>
      <x:c r="D51" s="22"/>
      <x:c r="E51" s="26"/>
      <x:c r="F51" s="22"/>
      <x:c r="G51" s="22"/>
      <x:c r="H51" s="28"/>
      <x:c r="I51" s="28"/>
      <x:c r="J51" s="28"/>
      <x:c r="K51" s="22"/>
      <x:c r="L51" s="22"/>
      <x:c r="M51" s="36" t="n">
        <x:f>IF(A51="",0,IF('01_설정'!$B$8="all",1,IF('01_설정'!$B$8="industry_transition",IF(OR(D51="industry",D51="transition"),1,0),IF(D51='01_설정'!$B$8,1,0))))</x:f>
        <x:v>0</x:v>
      </x:c>
      <x:c r="N51" s="36" t="n">
        <x:f>IF(A51="",0,IF(AND(M51=1,J51&lt;='01_설정'!$B$7,IF(H51&gt;0,H51,I51)&gt;0,IF(H51&gt;0,H51,I51)&lt;='01_설정'!$B$6),1,0))</x:f>
        <x:v>0</x:v>
      </x:c>
      <x:c r="O51" s="36" t="n">
        <x:f>IF(H51&gt;0,YEAR(H51),0)</x:f>
        <x:v>0</x:v>
      </x:c>
      <x:c r="P51" s="36" t="n">
        <x:f>IF(A51="",0,_xlfn.MAXIFS('14_적용상태'!$J$6:$J$205,'14_적용상태'!$B$6:$B$205,A51,'14_적용상태'!$I$6:$I$205,1))</x:f>
        <x:v>0</x:v>
      </x:c>
      <x:c r="Q51" s="36" t="n">
        <x:f>IF(P51=0,0,SUMIFS('14_적용상태'!$H$6:$H$205,'14_적용상태'!$J$6:$J$205,P51))</x:f>
        <x:v>0</x:v>
      </x:c>
      <x:c r="R51" s="36" t="n">
        <x:f>IF(AND(N51=1,Q51=1),1,0)</x:f>
        <x:v>0</x:v>
      </x:c>
      <x:c r="S51" s="36" t="n">
        <x:f>IF(AND(N51=1,O51=0),1,0)</x:f>
        <x:v>0</x:v>
      </x:c>
      <x:c r="T51" s="36" t="n">
        <x:f>IF(A51="",0,IF(COUNTIF('10_방법론'!$A$6:$A$105,A51)&gt;1,1,0))</x:f>
        <x:v>0</x:v>
      </x:c>
    </x:row>
    <x:row r="52" ht="20" customHeight="1">
      <x:c r="A52" s="22"/>
      <x:c r="B52" s="22"/>
      <x:c r="C52" s="26"/>
      <x:c r="D52" s="22"/>
      <x:c r="E52" s="26"/>
      <x:c r="F52" s="22"/>
      <x:c r="G52" s="22"/>
      <x:c r="H52" s="28"/>
      <x:c r="I52" s="28"/>
      <x:c r="J52" s="28"/>
      <x:c r="K52" s="22"/>
      <x:c r="L52" s="22"/>
      <x:c r="M52" s="36" t="n">
        <x:f>IF(A52="",0,IF('01_설정'!$B$8="all",1,IF('01_설정'!$B$8="industry_transition",IF(OR(D52="industry",D52="transition"),1,0),IF(D52='01_설정'!$B$8,1,0))))</x:f>
        <x:v>0</x:v>
      </x:c>
      <x:c r="N52" s="36" t="n">
        <x:f>IF(A52="",0,IF(AND(M52=1,J52&lt;='01_설정'!$B$7,IF(H52&gt;0,H52,I52)&gt;0,IF(H52&gt;0,H52,I52)&lt;='01_설정'!$B$6),1,0))</x:f>
        <x:v>0</x:v>
      </x:c>
      <x:c r="O52" s="36" t="n">
        <x:f>IF(H52&gt;0,YEAR(H52),0)</x:f>
        <x:v>0</x:v>
      </x:c>
      <x:c r="P52" s="36" t="n">
        <x:f>IF(A52="",0,_xlfn.MAXIFS('14_적용상태'!$J$6:$J$205,'14_적용상태'!$B$6:$B$205,A52,'14_적용상태'!$I$6:$I$205,1))</x:f>
        <x:v>0</x:v>
      </x:c>
      <x:c r="Q52" s="36" t="n">
        <x:f>IF(P52=0,0,SUMIFS('14_적용상태'!$H$6:$H$205,'14_적용상태'!$J$6:$J$205,P52))</x:f>
        <x:v>0</x:v>
      </x:c>
      <x:c r="R52" s="36" t="n">
        <x:f>IF(AND(N52=1,Q52=1),1,0)</x:f>
        <x:v>0</x:v>
      </x:c>
      <x:c r="S52" s="36" t="n">
        <x:f>IF(AND(N52=1,O52=0),1,0)</x:f>
        <x:v>0</x:v>
      </x:c>
      <x:c r="T52" s="36" t="n">
        <x:f>IF(A52="",0,IF(COUNTIF('10_방법론'!$A$6:$A$105,A52)&gt;1,1,0))</x:f>
        <x:v>0</x:v>
      </x:c>
    </x:row>
    <x:row r="53" ht="20" customHeight="1">
      <x:c r="A53" s="22"/>
      <x:c r="B53" s="22"/>
      <x:c r="C53" s="26"/>
      <x:c r="D53" s="22"/>
      <x:c r="E53" s="26"/>
      <x:c r="F53" s="22"/>
      <x:c r="G53" s="22"/>
      <x:c r="H53" s="28"/>
      <x:c r="I53" s="28"/>
      <x:c r="J53" s="28"/>
      <x:c r="K53" s="22"/>
      <x:c r="L53" s="22"/>
      <x:c r="M53" s="36" t="n">
        <x:f>IF(A53="",0,IF('01_설정'!$B$8="all",1,IF('01_설정'!$B$8="industry_transition",IF(OR(D53="industry",D53="transition"),1,0),IF(D53='01_설정'!$B$8,1,0))))</x:f>
        <x:v>0</x:v>
      </x:c>
      <x:c r="N53" s="36" t="n">
        <x:f>IF(A53="",0,IF(AND(M53=1,J53&lt;='01_설정'!$B$7,IF(H53&gt;0,H53,I53)&gt;0,IF(H53&gt;0,H53,I53)&lt;='01_설정'!$B$6),1,0))</x:f>
        <x:v>0</x:v>
      </x:c>
      <x:c r="O53" s="36" t="n">
        <x:f>IF(H53&gt;0,YEAR(H53),0)</x:f>
        <x:v>0</x:v>
      </x:c>
      <x:c r="P53" s="36" t="n">
        <x:f>IF(A53="",0,_xlfn.MAXIFS('14_적용상태'!$J$6:$J$205,'14_적용상태'!$B$6:$B$205,A53,'14_적용상태'!$I$6:$I$205,1))</x:f>
        <x:v>0</x:v>
      </x:c>
      <x:c r="Q53" s="36" t="n">
        <x:f>IF(P53=0,0,SUMIFS('14_적용상태'!$H$6:$H$205,'14_적용상태'!$J$6:$J$205,P53))</x:f>
        <x:v>0</x:v>
      </x:c>
      <x:c r="R53" s="36" t="n">
        <x:f>IF(AND(N53=1,Q53=1),1,0)</x:f>
        <x:v>0</x:v>
      </x:c>
      <x:c r="S53" s="36" t="n">
        <x:f>IF(AND(N53=1,O53=0),1,0)</x:f>
        <x:v>0</x:v>
      </x:c>
      <x:c r="T53" s="36" t="n">
        <x:f>IF(A53="",0,IF(COUNTIF('10_방법론'!$A$6:$A$105,A53)&gt;1,1,0))</x:f>
        <x:v>0</x:v>
      </x:c>
    </x:row>
    <x:row r="54" ht="20" customHeight="1">
      <x:c r="A54" s="22"/>
      <x:c r="B54" s="22"/>
      <x:c r="C54" s="26"/>
      <x:c r="D54" s="22"/>
      <x:c r="E54" s="26"/>
      <x:c r="F54" s="22"/>
      <x:c r="G54" s="22"/>
      <x:c r="H54" s="28"/>
      <x:c r="I54" s="28"/>
      <x:c r="J54" s="28"/>
      <x:c r="K54" s="22"/>
      <x:c r="L54" s="22"/>
      <x:c r="M54" s="36" t="n">
        <x:f>IF(A54="",0,IF('01_설정'!$B$8="all",1,IF('01_설정'!$B$8="industry_transition",IF(OR(D54="industry",D54="transition"),1,0),IF(D54='01_설정'!$B$8,1,0))))</x:f>
        <x:v>0</x:v>
      </x:c>
      <x:c r="N54" s="36" t="n">
        <x:f>IF(A54="",0,IF(AND(M54=1,J54&lt;='01_설정'!$B$7,IF(H54&gt;0,H54,I54)&gt;0,IF(H54&gt;0,H54,I54)&lt;='01_설정'!$B$6),1,0))</x:f>
        <x:v>0</x:v>
      </x:c>
      <x:c r="O54" s="36" t="n">
        <x:f>IF(H54&gt;0,YEAR(H54),0)</x:f>
        <x:v>0</x:v>
      </x:c>
      <x:c r="P54" s="36" t="n">
        <x:f>IF(A54="",0,_xlfn.MAXIFS('14_적용상태'!$J$6:$J$205,'14_적용상태'!$B$6:$B$205,A54,'14_적용상태'!$I$6:$I$205,1))</x:f>
        <x:v>0</x:v>
      </x:c>
      <x:c r="Q54" s="36" t="n">
        <x:f>IF(P54=0,0,SUMIFS('14_적용상태'!$H$6:$H$205,'14_적용상태'!$J$6:$J$205,P54))</x:f>
        <x:v>0</x:v>
      </x:c>
      <x:c r="R54" s="36" t="n">
        <x:f>IF(AND(N54=1,Q54=1),1,0)</x:f>
        <x:v>0</x:v>
      </x:c>
      <x:c r="S54" s="36" t="n">
        <x:f>IF(AND(N54=1,O54=0),1,0)</x:f>
        <x:v>0</x:v>
      </x:c>
      <x:c r="T54" s="36" t="n">
        <x:f>IF(A54="",0,IF(COUNTIF('10_방법론'!$A$6:$A$105,A54)&gt;1,1,0))</x:f>
        <x:v>0</x:v>
      </x:c>
    </x:row>
    <x:row r="55" ht="20" customHeight="1">
      <x:c r="A55" s="22"/>
      <x:c r="B55" s="22"/>
      <x:c r="C55" s="26"/>
      <x:c r="D55" s="22"/>
      <x:c r="E55" s="26"/>
      <x:c r="F55" s="22"/>
      <x:c r="G55" s="22"/>
      <x:c r="H55" s="28"/>
      <x:c r="I55" s="28"/>
      <x:c r="J55" s="28"/>
      <x:c r="K55" s="22"/>
      <x:c r="L55" s="22"/>
      <x:c r="M55" s="36" t="n">
        <x:f>IF(A55="",0,IF('01_설정'!$B$8="all",1,IF('01_설정'!$B$8="industry_transition",IF(OR(D55="industry",D55="transition"),1,0),IF(D55='01_설정'!$B$8,1,0))))</x:f>
        <x:v>0</x:v>
      </x:c>
      <x:c r="N55" s="36" t="n">
        <x:f>IF(A55="",0,IF(AND(M55=1,J55&lt;='01_설정'!$B$7,IF(H55&gt;0,H55,I55)&gt;0,IF(H55&gt;0,H55,I55)&lt;='01_설정'!$B$6),1,0))</x:f>
        <x:v>0</x:v>
      </x:c>
      <x:c r="O55" s="36" t="n">
        <x:f>IF(H55&gt;0,YEAR(H55),0)</x:f>
        <x:v>0</x:v>
      </x:c>
      <x:c r="P55" s="36" t="n">
        <x:f>IF(A55="",0,_xlfn.MAXIFS('14_적용상태'!$J$6:$J$205,'14_적용상태'!$B$6:$B$205,A55,'14_적용상태'!$I$6:$I$205,1))</x:f>
        <x:v>0</x:v>
      </x:c>
      <x:c r="Q55" s="36" t="n">
        <x:f>IF(P55=0,0,SUMIFS('14_적용상태'!$H$6:$H$205,'14_적용상태'!$J$6:$J$205,P55))</x:f>
        <x:v>0</x:v>
      </x:c>
      <x:c r="R55" s="36" t="n">
        <x:f>IF(AND(N55=1,Q55=1),1,0)</x:f>
        <x:v>0</x:v>
      </x:c>
      <x:c r="S55" s="36" t="n">
        <x:f>IF(AND(N55=1,O55=0),1,0)</x:f>
        <x:v>0</x:v>
      </x:c>
      <x:c r="T55" s="36" t="n">
        <x:f>IF(A55="",0,IF(COUNTIF('10_방법론'!$A$6:$A$105,A55)&gt;1,1,0))</x:f>
        <x:v>0</x:v>
      </x:c>
    </x:row>
    <x:row r="56" ht="20" customHeight="1">
      <x:c r="A56" s="22"/>
      <x:c r="B56" s="22"/>
      <x:c r="C56" s="26"/>
      <x:c r="D56" s="22"/>
      <x:c r="E56" s="26"/>
      <x:c r="F56" s="22"/>
      <x:c r="G56" s="22"/>
      <x:c r="H56" s="28"/>
      <x:c r="I56" s="28"/>
      <x:c r="J56" s="28"/>
      <x:c r="K56" s="22"/>
      <x:c r="L56" s="22"/>
      <x:c r="M56" s="36" t="n">
        <x:f>IF(A56="",0,IF('01_설정'!$B$8="all",1,IF('01_설정'!$B$8="industry_transition",IF(OR(D56="industry",D56="transition"),1,0),IF(D56='01_설정'!$B$8,1,0))))</x:f>
        <x:v>0</x:v>
      </x:c>
      <x:c r="N56" s="36" t="n">
        <x:f>IF(A56="",0,IF(AND(M56=1,J56&lt;='01_설정'!$B$7,IF(H56&gt;0,H56,I56)&gt;0,IF(H56&gt;0,H56,I56)&lt;='01_설정'!$B$6),1,0))</x:f>
        <x:v>0</x:v>
      </x:c>
      <x:c r="O56" s="36" t="n">
        <x:f>IF(H56&gt;0,YEAR(H56),0)</x:f>
        <x:v>0</x:v>
      </x:c>
      <x:c r="P56" s="36" t="n">
        <x:f>IF(A56="",0,_xlfn.MAXIFS('14_적용상태'!$J$6:$J$205,'14_적용상태'!$B$6:$B$205,A56,'14_적용상태'!$I$6:$I$205,1))</x:f>
        <x:v>0</x:v>
      </x:c>
      <x:c r="Q56" s="36" t="n">
        <x:f>IF(P56=0,0,SUMIFS('14_적용상태'!$H$6:$H$205,'14_적용상태'!$J$6:$J$205,P56))</x:f>
        <x:v>0</x:v>
      </x:c>
      <x:c r="R56" s="36" t="n">
        <x:f>IF(AND(N56=1,Q56=1),1,0)</x:f>
        <x:v>0</x:v>
      </x:c>
      <x:c r="S56" s="36" t="n">
        <x:f>IF(AND(N56=1,O56=0),1,0)</x:f>
        <x:v>0</x:v>
      </x:c>
      <x:c r="T56" s="36" t="n">
        <x:f>IF(A56="",0,IF(COUNTIF('10_방법론'!$A$6:$A$105,A56)&gt;1,1,0))</x:f>
        <x:v>0</x:v>
      </x:c>
    </x:row>
    <x:row r="57" ht="20" customHeight="1">
      <x:c r="A57" s="22"/>
      <x:c r="B57" s="22"/>
      <x:c r="C57" s="26"/>
      <x:c r="D57" s="22"/>
      <x:c r="E57" s="26"/>
      <x:c r="F57" s="22"/>
      <x:c r="G57" s="22"/>
      <x:c r="H57" s="28"/>
      <x:c r="I57" s="28"/>
      <x:c r="J57" s="28"/>
      <x:c r="K57" s="22"/>
      <x:c r="L57" s="22"/>
      <x:c r="M57" s="36" t="n">
        <x:f>IF(A57="",0,IF('01_설정'!$B$8="all",1,IF('01_설정'!$B$8="industry_transition",IF(OR(D57="industry",D57="transition"),1,0),IF(D57='01_설정'!$B$8,1,0))))</x:f>
        <x:v>0</x:v>
      </x:c>
      <x:c r="N57" s="36" t="n">
        <x:f>IF(A57="",0,IF(AND(M57=1,J57&lt;='01_설정'!$B$7,IF(H57&gt;0,H57,I57)&gt;0,IF(H57&gt;0,H57,I57)&lt;='01_설정'!$B$6),1,0))</x:f>
        <x:v>0</x:v>
      </x:c>
      <x:c r="O57" s="36" t="n">
        <x:f>IF(H57&gt;0,YEAR(H57),0)</x:f>
        <x:v>0</x:v>
      </x:c>
      <x:c r="P57" s="36" t="n">
        <x:f>IF(A57="",0,_xlfn.MAXIFS('14_적용상태'!$J$6:$J$205,'14_적용상태'!$B$6:$B$205,A57,'14_적용상태'!$I$6:$I$205,1))</x:f>
        <x:v>0</x:v>
      </x:c>
      <x:c r="Q57" s="36" t="n">
        <x:f>IF(P57=0,0,SUMIFS('14_적용상태'!$H$6:$H$205,'14_적용상태'!$J$6:$J$205,P57))</x:f>
        <x:v>0</x:v>
      </x:c>
      <x:c r="R57" s="36" t="n">
        <x:f>IF(AND(N57=1,Q57=1),1,0)</x:f>
        <x:v>0</x:v>
      </x:c>
      <x:c r="S57" s="36" t="n">
        <x:f>IF(AND(N57=1,O57=0),1,0)</x:f>
        <x:v>0</x:v>
      </x:c>
      <x:c r="T57" s="36" t="n">
        <x:f>IF(A57="",0,IF(COUNTIF('10_방법론'!$A$6:$A$105,A57)&gt;1,1,0))</x:f>
        <x:v>0</x:v>
      </x:c>
    </x:row>
    <x:row r="58" ht="20" customHeight="1">
      <x:c r="A58" s="22"/>
      <x:c r="B58" s="22"/>
      <x:c r="C58" s="26"/>
      <x:c r="D58" s="22"/>
      <x:c r="E58" s="26"/>
      <x:c r="F58" s="22"/>
      <x:c r="G58" s="22"/>
      <x:c r="H58" s="28"/>
      <x:c r="I58" s="28"/>
      <x:c r="J58" s="28"/>
      <x:c r="K58" s="22"/>
      <x:c r="L58" s="22"/>
      <x:c r="M58" s="36" t="n">
        <x:f>IF(A58="",0,IF('01_설정'!$B$8="all",1,IF('01_설정'!$B$8="industry_transition",IF(OR(D58="industry",D58="transition"),1,0),IF(D58='01_설정'!$B$8,1,0))))</x:f>
        <x:v>0</x:v>
      </x:c>
      <x:c r="N58" s="36" t="n">
        <x:f>IF(A58="",0,IF(AND(M58=1,J58&lt;='01_설정'!$B$7,IF(H58&gt;0,H58,I58)&gt;0,IF(H58&gt;0,H58,I58)&lt;='01_설정'!$B$6),1,0))</x:f>
        <x:v>0</x:v>
      </x:c>
      <x:c r="O58" s="36" t="n">
        <x:f>IF(H58&gt;0,YEAR(H58),0)</x:f>
        <x:v>0</x:v>
      </x:c>
      <x:c r="P58" s="36" t="n">
        <x:f>IF(A58="",0,_xlfn.MAXIFS('14_적용상태'!$J$6:$J$205,'14_적용상태'!$B$6:$B$205,A58,'14_적용상태'!$I$6:$I$205,1))</x:f>
        <x:v>0</x:v>
      </x:c>
      <x:c r="Q58" s="36" t="n">
        <x:f>IF(P58=0,0,SUMIFS('14_적용상태'!$H$6:$H$205,'14_적용상태'!$J$6:$J$205,P58))</x:f>
        <x:v>0</x:v>
      </x:c>
      <x:c r="R58" s="36" t="n">
        <x:f>IF(AND(N58=1,Q58=1),1,0)</x:f>
        <x:v>0</x:v>
      </x:c>
      <x:c r="S58" s="36" t="n">
        <x:f>IF(AND(N58=1,O58=0),1,0)</x:f>
        <x:v>0</x:v>
      </x:c>
      <x:c r="T58" s="36" t="n">
        <x:f>IF(A58="",0,IF(COUNTIF('10_방법론'!$A$6:$A$105,A58)&gt;1,1,0))</x:f>
        <x:v>0</x:v>
      </x:c>
    </x:row>
    <x:row r="59" ht="20" customHeight="1">
      <x:c r="A59" s="22"/>
      <x:c r="B59" s="22"/>
      <x:c r="C59" s="26"/>
      <x:c r="D59" s="22"/>
      <x:c r="E59" s="26"/>
      <x:c r="F59" s="22"/>
      <x:c r="G59" s="22"/>
      <x:c r="H59" s="28"/>
      <x:c r="I59" s="28"/>
      <x:c r="J59" s="28"/>
      <x:c r="K59" s="22"/>
      <x:c r="L59" s="22"/>
      <x:c r="M59" s="36" t="n">
        <x:f>IF(A59="",0,IF('01_설정'!$B$8="all",1,IF('01_설정'!$B$8="industry_transition",IF(OR(D59="industry",D59="transition"),1,0),IF(D59='01_설정'!$B$8,1,0))))</x:f>
        <x:v>0</x:v>
      </x:c>
      <x:c r="N59" s="36" t="n">
        <x:f>IF(A59="",0,IF(AND(M59=1,J59&lt;='01_설정'!$B$7,IF(H59&gt;0,H59,I59)&gt;0,IF(H59&gt;0,H59,I59)&lt;='01_설정'!$B$6),1,0))</x:f>
        <x:v>0</x:v>
      </x:c>
      <x:c r="O59" s="36" t="n">
        <x:f>IF(H59&gt;0,YEAR(H59),0)</x:f>
        <x:v>0</x:v>
      </x:c>
      <x:c r="P59" s="36" t="n">
        <x:f>IF(A59="",0,_xlfn.MAXIFS('14_적용상태'!$J$6:$J$205,'14_적용상태'!$B$6:$B$205,A59,'14_적용상태'!$I$6:$I$205,1))</x:f>
        <x:v>0</x:v>
      </x:c>
      <x:c r="Q59" s="36" t="n">
        <x:f>IF(P59=0,0,SUMIFS('14_적용상태'!$H$6:$H$205,'14_적용상태'!$J$6:$J$205,P59))</x:f>
        <x:v>0</x:v>
      </x:c>
      <x:c r="R59" s="36" t="n">
        <x:f>IF(AND(N59=1,Q59=1),1,0)</x:f>
        <x:v>0</x:v>
      </x:c>
      <x:c r="S59" s="36" t="n">
        <x:f>IF(AND(N59=1,O59=0),1,0)</x:f>
        <x:v>0</x:v>
      </x:c>
      <x:c r="T59" s="36" t="n">
        <x:f>IF(A59="",0,IF(COUNTIF('10_방법론'!$A$6:$A$105,A59)&gt;1,1,0))</x:f>
        <x:v>0</x:v>
      </x:c>
    </x:row>
    <x:row r="60" ht="20" customHeight="1">
      <x:c r="A60" s="22"/>
      <x:c r="B60" s="22"/>
      <x:c r="C60" s="26"/>
      <x:c r="D60" s="22"/>
      <x:c r="E60" s="26"/>
      <x:c r="F60" s="22"/>
      <x:c r="G60" s="22"/>
      <x:c r="H60" s="28"/>
      <x:c r="I60" s="28"/>
      <x:c r="J60" s="28"/>
      <x:c r="K60" s="22"/>
      <x:c r="L60" s="22"/>
      <x:c r="M60" s="36" t="n">
        <x:f>IF(A60="",0,IF('01_설정'!$B$8="all",1,IF('01_설정'!$B$8="industry_transition",IF(OR(D60="industry",D60="transition"),1,0),IF(D60='01_설정'!$B$8,1,0))))</x:f>
        <x:v>0</x:v>
      </x:c>
      <x:c r="N60" s="36" t="n">
        <x:f>IF(A60="",0,IF(AND(M60=1,J60&lt;='01_설정'!$B$7,IF(H60&gt;0,H60,I60)&gt;0,IF(H60&gt;0,H60,I60)&lt;='01_설정'!$B$6),1,0))</x:f>
        <x:v>0</x:v>
      </x:c>
      <x:c r="O60" s="36" t="n">
        <x:f>IF(H60&gt;0,YEAR(H60),0)</x:f>
        <x:v>0</x:v>
      </x:c>
      <x:c r="P60" s="36" t="n">
        <x:f>IF(A60="",0,_xlfn.MAXIFS('14_적용상태'!$J$6:$J$205,'14_적용상태'!$B$6:$B$205,A60,'14_적용상태'!$I$6:$I$205,1))</x:f>
        <x:v>0</x:v>
      </x:c>
      <x:c r="Q60" s="36" t="n">
        <x:f>IF(P60=0,0,SUMIFS('14_적용상태'!$H$6:$H$205,'14_적용상태'!$J$6:$J$205,P60))</x:f>
        <x:v>0</x:v>
      </x:c>
      <x:c r="R60" s="36" t="n">
        <x:f>IF(AND(N60=1,Q60=1),1,0)</x:f>
        <x:v>0</x:v>
      </x:c>
      <x:c r="S60" s="36" t="n">
        <x:f>IF(AND(N60=1,O60=0),1,0)</x:f>
        <x:v>0</x:v>
      </x:c>
      <x:c r="T60" s="36" t="n">
        <x:f>IF(A60="",0,IF(COUNTIF('10_방법론'!$A$6:$A$105,A60)&gt;1,1,0))</x:f>
        <x:v>0</x:v>
      </x:c>
    </x:row>
    <x:row r="61" ht="20" customHeight="1">
      <x:c r="A61" s="22"/>
      <x:c r="B61" s="22"/>
      <x:c r="C61" s="26"/>
      <x:c r="D61" s="22"/>
      <x:c r="E61" s="26"/>
      <x:c r="F61" s="22"/>
      <x:c r="G61" s="22"/>
      <x:c r="H61" s="28"/>
      <x:c r="I61" s="28"/>
      <x:c r="J61" s="28"/>
      <x:c r="K61" s="22"/>
      <x:c r="L61" s="22"/>
      <x:c r="M61" s="36" t="n">
        <x:f>IF(A61="",0,IF('01_설정'!$B$8="all",1,IF('01_설정'!$B$8="industry_transition",IF(OR(D61="industry",D61="transition"),1,0),IF(D61='01_설정'!$B$8,1,0))))</x:f>
        <x:v>0</x:v>
      </x:c>
      <x:c r="N61" s="36" t="n">
        <x:f>IF(A61="",0,IF(AND(M61=1,J61&lt;='01_설정'!$B$7,IF(H61&gt;0,H61,I61)&gt;0,IF(H61&gt;0,H61,I61)&lt;='01_설정'!$B$6),1,0))</x:f>
        <x:v>0</x:v>
      </x:c>
      <x:c r="O61" s="36" t="n">
        <x:f>IF(H61&gt;0,YEAR(H61),0)</x:f>
        <x:v>0</x:v>
      </x:c>
      <x:c r="P61" s="36" t="n">
        <x:f>IF(A61="",0,_xlfn.MAXIFS('14_적용상태'!$J$6:$J$205,'14_적용상태'!$B$6:$B$205,A61,'14_적용상태'!$I$6:$I$205,1))</x:f>
        <x:v>0</x:v>
      </x:c>
      <x:c r="Q61" s="36" t="n">
        <x:f>IF(P61=0,0,SUMIFS('14_적용상태'!$H$6:$H$205,'14_적용상태'!$J$6:$J$205,P61))</x:f>
        <x:v>0</x:v>
      </x:c>
      <x:c r="R61" s="36" t="n">
        <x:f>IF(AND(N61=1,Q61=1),1,0)</x:f>
        <x:v>0</x:v>
      </x:c>
      <x:c r="S61" s="36" t="n">
        <x:f>IF(AND(N61=1,O61=0),1,0)</x:f>
        <x:v>0</x:v>
      </x:c>
      <x:c r="T61" s="36" t="n">
        <x:f>IF(A61="",0,IF(COUNTIF('10_방법론'!$A$6:$A$105,A61)&gt;1,1,0))</x:f>
        <x:v>0</x:v>
      </x:c>
    </x:row>
    <x:row r="62" ht="20" customHeight="1">
      <x:c r="A62" s="22"/>
      <x:c r="B62" s="22"/>
      <x:c r="C62" s="26"/>
      <x:c r="D62" s="22"/>
      <x:c r="E62" s="26"/>
      <x:c r="F62" s="22"/>
      <x:c r="G62" s="22"/>
      <x:c r="H62" s="28"/>
      <x:c r="I62" s="28"/>
      <x:c r="J62" s="28"/>
      <x:c r="K62" s="22"/>
      <x:c r="L62" s="22"/>
      <x:c r="M62" s="36" t="n">
        <x:f>IF(A62="",0,IF('01_설정'!$B$8="all",1,IF('01_설정'!$B$8="industry_transition",IF(OR(D62="industry",D62="transition"),1,0),IF(D62='01_설정'!$B$8,1,0))))</x:f>
        <x:v>0</x:v>
      </x:c>
      <x:c r="N62" s="36" t="n">
        <x:f>IF(A62="",0,IF(AND(M62=1,J62&lt;='01_설정'!$B$7,IF(H62&gt;0,H62,I62)&gt;0,IF(H62&gt;0,H62,I62)&lt;='01_설정'!$B$6),1,0))</x:f>
        <x:v>0</x:v>
      </x:c>
      <x:c r="O62" s="36" t="n">
        <x:f>IF(H62&gt;0,YEAR(H62),0)</x:f>
        <x:v>0</x:v>
      </x:c>
      <x:c r="P62" s="36" t="n">
        <x:f>IF(A62="",0,_xlfn.MAXIFS('14_적용상태'!$J$6:$J$205,'14_적용상태'!$B$6:$B$205,A62,'14_적용상태'!$I$6:$I$205,1))</x:f>
        <x:v>0</x:v>
      </x:c>
      <x:c r="Q62" s="36" t="n">
        <x:f>IF(P62=0,0,SUMIFS('14_적용상태'!$H$6:$H$205,'14_적용상태'!$J$6:$J$205,P62))</x:f>
        <x:v>0</x:v>
      </x:c>
      <x:c r="R62" s="36" t="n">
        <x:f>IF(AND(N62=1,Q62=1),1,0)</x:f>
        <x:v>0</x:v>
      </x:c>
      <x:c r="S62" s="36" t="n">
        <x:f>IF(AND(N62=1,O62=0),1,0)</x:f>
        <x:v>0</x:v>
      </x:c>
      <x:c r="T62" s="36" t="n">
        <x:f>IF(A62="",0,IF(COUNTIF('10_방법론'!$A$6:$A$105,A62)&gt;1,1,0))</x:f>
        <x:v>0</x:v>
      </x:c>
    </x:row>
    <x:row r="63" ht="20" customHeight="1">
      <x:c r="A63" s="22"/>
      <x:c r="B63" s="22"/>
      <x:c r="C63" s="26"/>
      <x:c r="D63" s="22"/>
      <x:c r="E63" s="26"/>
      <x:c r="F63" s="22"/>
      <x:c r="G63" s="22"/>
      <x:c r="H63" s="28"/>
      <x:c r="I63" s="28"/>
      <x:c r="J63" s="28"/>
      <x:c r="K63" s="22"/>
      <x:c r="L63" s="22"/>
      <x:c r="M63" s="36" t="n">
        <x:f>IF(A63="",0,IF('01_설정'!$B$8="all",1,IF('01_설정'!$B$8="industry_transition",IF(OR(D63="industry",D63="transition"),1,0),IF(D63='01_설정'!$B$8,1,0))))</x:f>
        <x:v>0</x:v>
      </x:c>
      <x:c r="N63" s="36" t="n">
        <x:f>IF(A63="",0,IF(AND(M63=1,J63&lt;='01_설정'!$B$7,IF(H63&gt;0,H63,I63)&gt;0,IF(H63&gt;0,H63,I63)&lt;='01_설정'!$B$6),1,0))</x:f>
        <x:v>0</x:v>
      </x:c>
      <x:c r="O63" s="36" t="n">
        <x:f>IF(H63&gt;0,YEAR(H63),0)</x:f>
        <x:v>0</x:v>
      </x:c>
      <x:c r="P63" s="36" t="n">
        <x:f>IF(A63="",0,_xlfn.MAXIFS('14_적용상태'!$J$6:$J$205,'14_적용상태'!$B$6:$B$205,A63,'14_적용상태'!$I$6:$I$205,1))</x:f>
        <x:v>0</x:v>
      </x:c>
      <x:c r="Q63" s="36" t="n">
        <x:f>IF(P63=0,0,SUMIFS('14_적용상태'!$H$6:$H$205,'14_적용상태'!$J$6:$J$205,P63))</x:f>
        <x:v>0</x:v>
      </x:c>
      <x:c r="R63" s="36" t="n">
        <x:f>IF(AND(N63=1,Q63=1),1,0)</x:f>
        <x:v>0</x:v>
      </x:c>
      <x:c r="S63" s="36" t="n">
        <x:f>IF(AND(N63=1,O63=0),1,0)</x:f>
        <x:v>0</x:v>
      </x:c>
      <x:c r="T63" s="36" t="n">
        <x:f>IF(A63="",0,IF(COUNTIF('10_방법론'!$A$6:$A$105,A63)&gt;1,1,0))</x:f>
        <x:v>0</x:v>
      </x:c>
    </x:row>
    <x:row r="64" ht="20" customHeight="1">
      <x:c r="A64" s="22"/>
      <x:c r="B64" s="22"/>
      <x:c r="C64" s="26"/>
      <x:c r="D64" s="22"/>
      <x:c r="E64" s="26"/>
      <x:c r="F64" s="22"/>
      <x:c r="G64" s="22"/>
      <x:c r="H64" s="28"/>
      <x:c r="I64" s="28"/>
      <x:c r="J64" s="28"/>
      <x:c r="K64" s="22"/>
      <x:c r="L64" s="22"/>
      <x:c r="M64" s="36" t="n">
        <x:f>IF(A64="",0,IF('01_설정'!$B$8="all",1,IF('01_설정'!$B$8="industry_transition",IF(OR(D64="industry",D64="transition"),1,0),IF(D64='01_설정'!$B$8,1,0))))</x:f>
        <x:v>0</x:v>
      </x:c>
      <x:c r="N64" s="36" t="n">
        <x:f>IF(A64="",0,IF(AND(M64=1,J64&lt;='01_설정'!$B$7,IF(H64&gt;0,H64,I64)&gt;0,IF(H64&gt;0,H64,I64)&lt;='01_설정'!$B$6),1,0))</x:f>
        <x:v>0</x:v>
      </x:c>
      <x:c r="O64" s="36" t="n">
        <x:f>IF(H64&gt;0,YEAR(H64),0)</x:f>
        <x:v>0</x:v>
      </x:c>
      <x:c r="P64" s="36" t="n">
        <x:f>IF(A64="",0,_xlfn.MAXIFS('14_적용상태'!$J$6:$J$205,'14_적용상태'!$B$6:$B$205,A64,'14_적용상태'!$I$6:$I$205,1))</x:f>
        <x:v>0</x:v>
      </x:c>
      <x:c r="Q64" s="36" t="n">
        <x:f>IF(P64=0,0,SUMIFS('14_적용상태'!$H$6:$H$205,'14_적용상태'!$J$6:$J$205,P64))</x:f>
        <x:v>0</x:v>
      </x:c>
      <x:c r="R64" s="36" t="n">
        <x:f>IF(AND(N64=1,Q64=1),1,0)</x:f>
        <x:v>0</x:v>
      </x:c>
      <x:c r="S64" s="36" t="n">
        <x:f>IF(AND(N64=1,O64=0),1,0)</x:f>
        <x:v>0</x:v>
      </x:c>
      <x:c r="T64" s="36" t="n">
        <x:f>IF(A64="",0,IF(COUNTIF('10_방법론'!$A$6:$A$105,A64)&gt;1,1,0))</x:f>
        <x:v>0</x:v>
      </x:c>
    </x:row>
    <x:row r="65" ht="20" customHeight="1">
      <x:c r="A65" s="22"/>
      <x:c r="B65" s="22"/>
      <x:c r="C65" s="26"/>
      <x:c r="D65" s="22"/>
      <x:c r="E65" s="26"/>
      <x:c r="F65" s="22"/>
      <x:c r="G65" s="22"/>
      <x:c r="H65" s="28"/>
      <x:c r="I65" s="28"/>
      <x:c r="J65" s="28"/>
      <x:c r="K65" s="22"/>
      <x:c r="L65" s="22"/>
      <x:c r="M65" s="36" t="n">
        <x:f>IF(A65="",0,IF('01_설정'!$B$8="all",1,IF('01_설정'!$B$8="industry_transition",IF(OR(D65="industry",D65="transition"),1,0),IF(D65='01_설정'!$B$8,1,0))))</x:f>
        <x:v>0</x:v>
      </x:c>
      <x:c r="N65" s="36" t="n">
        <x:f>IF(A65="",0,IF(AND(M65=1,J65&lt;='01_설정'!$B$7,IF(H65&gt;0,H65,I65)&gt;0,IF(H65&gt;0,H65,I65)&lt;='01_설정'!$B$6),1,0))</x:f>
        <x:v>0</x:v>
      </x:c>
      <x:c r="O65" s="36" t="n">
        <x:f>IF(H65&gt;0,YEAR(H65),0)</x:f>
        <x:v>0</x:v>
      </x:c>
      <x:c r="P65" s="36" t="n">
        <x:f>IF(A65="",0,_xlfn.MAXIFS('14_적용상태'!$J$6:$J$205,'14_적용상태'!$B$6:$B$205,A65,'14_적용상태'!$I$6:$I$205,1))</x:f>
        <x:v>0</x:v>
      </x:c>
      <x:c r="Q65" s="36" t="n">
        <x:f>IF(P65=0,0,SUMIFS('14_적용상태'!$H$6:$H$205,'14_적용상태'!$J$6:$J$205,P65))</x:f>
        <x:v>0</x:v>
      </x:c>
      <x:c r="R65" s="36" t="n">
        <x:f>IF(AND(N65=1,Q65=1),1,0)</x:f>
        <x:v>0</x:v>
      </x:c>
      <x:c r="S65" s="36" t="n">
        <x:f>IF(AND(N65=1,O65=0),1,0)</x:f>
        <x:v>0</x:v>
      </x:c>
      <x:c r="T65" s="36" t="n">
        <x:f>IF(A65="",0,IF(COUNTIF('10_방법론'!$A$6:$A$105,A65)&gt;1,1,0))</x:f>
        <x:v>0</x:v>
      </x:c>
    </x:row>
    <x:row r="66" ht="20" customHeight="1">
      <x:c r="A66" s="22"/>
      <x:c r="B66" s="22"/>
      <x:c r="C66" s="26"/>
      <x:c r="D66" s="22"/>
      <x:c r="E66" s="26"/>
      <x:c r="F66" s="22"/>
      <x:c r="G66" s="22"/>
      <x:c r="H66" s="28"/>
      <x:c r="I66" s="28"/>
      <x:c r="J66" s="28"/>
      <x:c r="K66" s="22"/>
      <x:c r="L66" s="22"/>
      <x:c r="M66" s="36" t="n">
        <x:f>IF(A66="",0,IF('01_설정'!$B$8="all",1,IF('01_설정'!$B$8="industry_transition",IF(OR(D66="industry",D66="transition"),1,0),IF(D66='01_설정'!$B$8,1,0))))</x:f>
        <x:v>0</x:v>
      </x:c>
      <x:c r="N66" s="36" t="n">
        <x:f>IF(A66="",0,IF(AND(M66=1,J66&lt;='01_설정'!$B$7,IF(H66&gt;0,H66,I66)&gt;0,IF(H66&gt;0,H66,I66)&lt;='01_설정'!$B$6),1,0))</x:f>
        <x:v>0</x:v>
      </x:c>
      <x:c r="O66" s="36" t="n">
        <x:f>IF(H66&gt;0,YEAR(H66),0)</x:f>
        <x:v>0</x:v>
      </x:c>
      <x:c r="P66" s="36" t="n">
        <x:f>IF(A66="",0,_xlfn.MAXIFS('14_적용상태'!$J$6:$J$205,'14_적용상태'!$B$6:$B$205,A66,'14_적용상태'!$I$6:$I$205,1))</x:f>
        <x:v>0</x:v>
      </x:c>
      <x:c r="Q66" s="36" t="n">
        <x:f>IF(P66=0,0,SUMIFS('14_적용상태'!$H$6:$H$205,'14_적용상태'!$J$6:$J$205,P66))</x:f>
        <x:v>0</x:v>
      </x:c>
      <x:c r="R66" s="36" t="n">
        <x:f>IF(AND(N66=1,Q66=1),1,0)</x:f>
        <x:v>0</x:v>
      </x:c>
      <x:c r="S66" s="36" t="n">
        <x:f>IF(AND(N66=1,O66=0),1,0)</x:f>
        <x:v>0</x:v>
      </x:c>
      <x:c r="T66" s="36" t="n">
        <x:f>IF(A66="",0,IF(COUNTIF('10_방법론'!$A$6:$A$105,A66)&gt;1,1,0))</x:f>
        <x:v>0</x:v>
      </x:c>
    </x:row>
    <x:row r="67" ht="20" customHeight="1">
      <x:c r="A67" s="22"/>
      <x:c r="B67" s="22"/>
      <x:c r="C67" s="26"/>
      <x:c r="D67" s="22"/>
      <x:c r="E67" s="26"/>
      <x:c r="F67" s="22"/>
      <x:c r="G67" s="22"/>
      <x:c r="H67" s="28"/>
      <x:c r="I67" s="28"/>
      <x:c r="J67" s="28"/>
      <x:c r="K67" s="22"/>
      <x:c r="L67" s="22"/>
      <x:c r="M67" s="36" t="n">
        <x:f>IF(A67="",0,IF('01_설정'!$B$8="all",1,IF('01_설정'!$B$8="industry_transition",IF(OR(D67="industry",D67="transition"),1,0),IF(D67='01_설정'!$B$8,1,0))))</x:f>
        <x:v>0</x:v>
      </x:c>
      <x:c r="N67" s="36" t="n">
        <x:f>IF(A67="",0,IF(AND(M67=1,J67&lt;='01_설정'!$B$7,IF(H67&gt;0,H67,I67)&gt;0,IF(H67&gt;0,H67,I67)&lt;='01_설정'!$B$6),1,0))</x:f>
        <x:v>0</x:v>
      </x:c>
      <x:c r="O67" s="36" t="n">
        <x:f>IF(H67&gt;0,YEAR(H67),0)</x:f>
        <x:v>0</x:v>
      </x:c>
      <x:c r="P67" s="36" t="n">
        <x:f>IF(A67="",0,_xlfn.MAXIFS('14_적용상태'!$J$6:$J$205,'14_적용상태'!$B$6:$B$205,A67,'14_적용상태'!$I$6:$I$205,1))</x:f>
        <x:v>0</x:v>
      </x:c>
      <x:c r="Q67" s="36" t="n">
        <x:f>IF(P67=0,0,SUMIFS('14_적용상태'!$H$6:$H$205,'14_적용상태'!$J$6:$J$205,P67))</x:f>
        <x:v>0</x:v>
      </x:c>
      <x:c r="R67" s="36" t="n">
        <x:f>IF(AND(N67=1,Q67=1),1,0)</x:f>
        <x:v>0</x:v>
      </x:c>
      <x:c r="S67" s="36" t="n">
        <x:f>IF(AND(N67=1,O67=0),1,0)</x:f>
        <x:v>0</x:v>
      </x:c>
      <x:c r="T67" s="36" t="n">
        <x:f>IF(A67="",0,IF(COUNTIF('10_방법론'!$A$6:$A$105,A67)&gt;1,1,0))</x:f>
        <x:v>0</x:v>
      </x:c>
    </x:row>
    <x:row r="68" ht="20" customHeight="1">
      <x:c r="A68" s="22"/>
      <x:c r="B68" s="22"/>
      <x:c r="C68" s="26"/>
      <x:c r="D68" s="22"/>
      <x:c r="E68" s="26"/>
      <x:c r="F68" s="22"/>
      <x:c r="G68" s="22"/>
      <x:c r="H68" s="28"/>
      <x:c r="I68" s="28"/>
      <x:c r="J68" s="28"/>
      <x:c r="K68" s="22"/>
      <x:c r="L68" s="22"/>
      <x:c r="M68" s="36" t="n">
        <x:f>IF(A68="",0,IF('01_설정'!$B$8="all",1,IF('01_설정'!$B$8="industry_transition",IF(OR(D68="industry",D68="transition"),1,0),IF(D68='01_설정'!$B$8,1,0))))</x:f>
        <x:v>0</x:v>
      </x:c>
      <x:c r="N68" s="36" t="n">
        <x:f>IF(A68="",0,IF(AND(M68=1,J68&lt;='01_설정'!$B$7,IF(H68&gt;0,H68,I68)&gt;0,IF(H68&gt;0,H68,I68)&lt;='01_설정'!$B$6),1,0))</x:f>
        <x:v>0</x:v>
      </x:c>
      <x:c r="O68" s="36" t="n">
        <x:f>IF(H68&gt;0,YEAR(H68),0)</x:f>
        <x:v>0</x:v>
      </x:c>
      <x:c r="P68" s="36" t="n">
        <x:f>IF(A68="",0,_xlfn.MAXIFS('14_적용상태'!$J$6:$J$205,'14_적용상태'!$B$6:$B$205,A68,'14_적용상태'!$I$6:$I$205,1))</x:f>
        <x:v>0</x:v>
      </x:c>
      <x:c r="Q68" s="36" t="n">
        <x:f>IF(P68=0,0,SUMIFS('14_적용상태'!$H$6:$H$205,'14_적용상태'!$J$6:$J$205,P68))</x:f>
        <x:v>0</x:v>
      </x:c>
      <x:c r="R68" s="36" t="n">
        <x:f>IF(AND(N68=1,Q68=1),1,0)</x:f>
        <x:v>0</x:v>
      </x:c>
      <x:c r="S68" s="36" t="n">
        <x:f>IF(AND(N68=1,O68=0),1,0)</x:f>
        <x:v>0</x:v>
      </x:c>
      <x:c r="T68" s="36" t="n">
        <x:f>IF(A68="",0,IF(COUNTIF('10_방법론'!$A$6:$A$105,A68)&gt;1,1,0))</x:f>
        <x:v>0</x:v>
      </x:c>
    </x:row>
    <x:row r="69" ht="20" customHeight="1">
      <x:c r="A69" s="22"/>
      <x:c r="B69" s="22"/>
      <x:c r="C69" s="26"/>
      <x:c r="D69" s="22"/>
      <x:c r="E69" s="26"/>
      <x:c r="F69" s="22"/>
      <x:c r="G69" s="22"/>
      <x:c r="H69" s="28"/>
      <x:c r="I69" s="28"/>
      <x:c r="J69" s="28"/>
      <x:c r="K69" s="22"/>
      <x:c r="L69" s="22"/>
      <x:c r="M69" s="36" t="n">
        <x:f>IF(A69="",0,IF('01_설정'!$B$8="all",1,IF('01_설정'!$B$8="industry_transition",IF(OR(D69="industry",D69="transition"),1,0),IF(D69='01_설정'!$B$8,1,0))))</x:f>
        <x:v>0</x:v>
      </x:c>
      <x:c r="N69" s="36" t="n">
        <x:f>IF(A69="",0,IF(AND(M69=1,J69&lt;='01_설정'!$B$7,IF(H69&gt;0,H69,I69)&gt;0,IF(H69&gt;0,H69,I69)&lt;='01_설정'!$B$6),1,0))</x:f>
        <x:v>0</x:v>
      </x:c>
      <x:c r="O69" s="36" t="n">
        <x:f>IF(H69&gt;0,YEAR(H69),0)</x:f>
        <x:v>0</x:v>
      </x:c>
      <x:c r="P69" s="36" t="n">
        <x:f>IF(A69="",0,_xlfn.MAXIFS('14_적용상태'!$J$6:$J$205,'14_적용상태'!$B$6:$B$205,A69,'14_적용상태'!$I$6:$I$205,1))</x:f>
        <x:v>0</x:v>
      </x:c>
      <x:c r="Q69" s="36" t="n">
        <x:f>IF(P69=0,0,SUMIFS('14_적용상태'!$H$6:$H$205,'14_적용상태'!$J$6:$J$205,P69))</x:f>
        <x:v>0</x:v>
      </x:c>
      <x:c r="R69" s="36" t="n">
        <x:f>IF(AND(N69=1,Q69=1),1,0)</x:f>
        <x:v>0</x:v>
      </x:c>
      <x:c r="S69" s="36" t="n">
        <x:f>IF(AND(N69=1,O69=0),1,0)</x:f>
        <x:v>0</x:v>
      </x:c>
      <x:c r="T69" s="36" t="n">
        <x:f>IF(A69="",0,IF(COUNTIF('10_방법론'!$A$6:$A$105,A69)&gt;1,1,0))</x:f>
        <x:v>0</x:v>
      </x:c>
    </x:row>
    <x:row r="70" ht="20" customHeight="1">
      <x:c r="A70" s="22"/>
      <x:c r="B70" s="22"/>
      <x:c r="C70" s="26"/>
      <x:c r="D70" s="22"/>
      <x:c r="E70" s="26"/>
      <x:c r="F70" s="22"/>
      <x:c r="G70" s="22"/>
      <x:c r="H70" s="28"/>
      <x:c r="I70" s="28"/>
      <x:c r="J70" s="28"/>
      <x:c r="K70" s="22"/>
      <x:c r="L70" s="22"/>
      <x:c r="M70" s="36" t="n">
        <x:f>IF(A70="",0,IF('01_설정'!$B$8="all",1,IF('01_설정'!$B$8="industry_transition",IF(OR(D70="industry",D70="transition"),1,0),IF(D70='01_설정'!$B$8,1,0))))</x:f>
        <x:v>0</x:v>
      </x:c>
      <x:c r="N70" s="36" t="n">
        <x:f>IF(A70="",0,IF(AND(M70=1,J70&lt;='01_설정'!$B$7,IF(H70&gt;0,H70,I70)&gt;0,IF(H70&gt;0,H70,I70)&lt;='01_설정'!$B$6),1,0))</x:f>
        <x:v>0</x:v>
      </x:c>
      <x:c r="O70" s="36" t="n">
        <x:f>IF(H70&gt;0,YEAR(H70),0)</x:f>
        <x:v>0</x:v>
      </x:c>
      <x:c r="P70" s="36" t="n">
        <x:f>IF(A70="",0,_xlfn.MAXIFS('14_적용상태'!$J$6:$J$205,'14_적용상태'!$B$6:$B$205,A70,'14_적용상태'!$I$6:$I$205,1))</x:f>
        <x:v>0</x:v>
      </x:c>
      <x:c r="Q70" s="36" t="n">
        <x:f>IF(P70=0,0,SUMIFS('14_적용상태'!$H$6:$H$205,'14_적용상태'!$J$6:$J$205,P70))</x:f>
        <x:v>0</x:v>
      </x:c>
      <x:c r="R70" s="36" t="n">
        <x:f>IF(AND(N70=1,Q70=1),1,0)</x:f>
        <x:v>0</x:v>
      </x:c>
      <x:c r="S70" s="36" t="n">
        <x:f>IF(AND(N70=1,O70=0),1,0)</x:f>
        <x:v>0</x:v>
      </x:c>
      <x:c r="T70" s="36" t="n">
        <x:f>IF(A70="",0,IF(COUNTIF('10_방법론'!$A$6:$A$105,A70)&gt;1,1,0))</x:f>
        <x:v>0</x:v>
      </x:c>
    </x:row>
    <x:row r="71" ht="20" customHeight="1">
      <x:c r="A71" s="22"/>
      <x:c r="B71" s="22"/>
      <x:c r="C71" s="26"/>
      <x:c r="D71" s="22"/>
      <x:c r="E71" s="26"/>
      <x:c r="F71" s="22"/>
      <x:c r="G71" s="22"/>
      <x:c r="H71" s="28"/>
      <x:c r="I71" s="28"/>
      <x:c r="J71" s="28"/>
      <x:c r="K71" s="22"/>
      <x:c r="L71" s="22"/>
      <x:c r="M71" s="36" t="n">
        <x:f>IF(A71="",0,IF('01_설정'!$B$8="all",1,IF('01_설정'!$B$8="industry_transition",IF(OR(D71="industry",D71="transition"),1,0),IF(D71='01_설정'!$B$8,1,0))))</x:f>
        <x:v>0</x:v>
      </x:c>
      <x:c r="N71" s="36" t="n">
        <x:f>IF(A71="",0,IF(AND(M71=1,J71&lt;='01_설정'!$B$7,IF(H71&gt;0,H71,I71)&gt;0,IF(H71&gt;0,H71,I71)&lt;='01_설정'!$B$6),1,0))</x:f>
        <x:v>0</x:v>
      </x:c>
      <x:c r="O71" s="36" t="n">
        <x:f>IF(H71&gt;0,YEAR(H71),0)</x:f>
        <x:v>0</x:v>
      </x:c>
      <x:c r="P71" s="36" t="n">
        <x:f>IF(A71="",0,_xlfn.MAXIFS('14_적용상태'!$J$6:$J$205,'14_적용상태'!$B$6:$B$205,A71,'14_적용상태'!$I$6:$I$205,1))</x:f>
        <x:v>0</x:v>
      </x:c>
      <x:c r="Q71" s="36" t="n">
        <x:f>IF(P71=0,0,SUMIFS('14_적용상태'!$H$6:$H$205,'14_적용상태'!$J$6:$J$205,P71))</x:f>
        <x:v>0</x:v>
      </x:c>
      <x:c r="R71" s="36" t="n">
        <x:f>IF(AND(N71=1,Q71=1),1,0)</x:f>
        <x:v>0</x:v>
      </x:c>
      <x:c r="S71" s="36" t="n">
        <x:f>IF(AND(N71=1,O71=0),1,0)</x:f>
        <x:v>0</x:v>
      </x:c>
      <x:c r="T71" s="36" t="n">
        <x:f>IF(A71="",0,IF(COUNTIF('10_방법론'!$A$6:$A$105,A71)&gt;1,1,0))</x:f>
        <x:v>0</x:v>
      </x:c>
    </x:row>
    <x:row r="72" ht="20" customHeight="1">
      <x:c r="A72" s="22"/>
      <x:c r="B72" s="22"/>
      <x:c r="C72" s="26"/>
      <x:c r="D72" s="22"/>
      <x:c r="E72" s="26"/>
      <x:c r="F72" s="22"/>
      <x:c r="G72" s="22"/>
      <x:c r="H72" s="28"/>
      <x:c r="I72" s="28"/>
      <x:c r="J72" s="28"/>
      <x:c r="K72" s="22"/>
      <x:c r="L72" s="22"/>
      <x:c r="M72" s="36" t="n">
        <x:f>IF(A72="",0,IF('01_설정'!$B$8="all",1,IF('01_설정'!$B$8="industry_transition",IF(OR(D72="industry",D72="transition"),1,0),IF(D72='01_설정'!$B$8,1,0))))</x:f>
        <x:v>0</x:v>
      </x:c>
      <x:c r="N72" s="36" t="n">
        <x:f>IF(A72="",0,IF(AND(M72=1,J72&lt;='01_설정'!$B$7,IF(H72&gt;0,H72,I72)&gt;0,IF(H72&gt;0,H72,I72)&lt;='01_설정'!$B$6),1,0))</x:f>
        <x:v>0</x:v>
      </x:c>
      <x:c r="O72" s="36" t="n">
        <x:f>IF(H72&gt;0,YEAR(H72),0)</x:f>
        <x:v>0</x:v>
      </x:c>
      <x:c r="P72" s="36" t="n">
        <x:f>IF(A72="",0,_xlfn.MAXIFS('14_적용상태'!$J$6:$J$205,'14_적용상태'!$B$6:$B$205,A72,'14_적용상태'!$I$6:$I$205,1))</x:f>
        <x:v>0</x:v>
      </x:c>
      <x:c r="Q72" s="36" t="n">
        <x:f>IF(P72=0,0,SUMIFS('14_적용상태'!$H$6:$H$205,'14_적용상태'!$J$6:$J$205,P72))</x:f>
        <x:v>0</x:v>
      </x:c>
      <x:c r="R72" s="36" t="n">
        <x:f>IF(AND(N72=1,Q72=1),1,0)</x:f>
        <x:v>0</x:v>
      </x:c>
      <x:c r="S72" s="36" t="n">
        <x:f>IF(AND(N72=1,O72=0),1,0)</x:f>
        <x:v>0</x:v>
      </x:c>
      <x:c r="T72" s="36" t="n">
        <x:f>IF(A72="",0,IF(COUNTIF('10_방법론'!$A$6:$A$105,A72)&gt;1,1,0))</x:f>
        <x:v>0</x:v>
      </x:c>
    </x:row>
    <x:row r="73" ht="20" customHeight="1">
      <x:c r="A73" s="22"/>
      <x:c r="B73" s="22"/>
      <x:c r="C73" s="26"/>
      <x:c r="D73" s="22"/>
      <x:c r="E73" s="26"/>
      <x:c r="F73" s="22"/>
      <x:c r="G73" s="22"/>
      <x:c r="H73" s="28"/>
      <x:c r="I73" s="28"/>
      <x:c r="J73" s="28"/>
      <x:c r="K73" s="22"/>
      <x:c r="L73" s="22"/>
      <x:c r="M73" s="36" t="n">
        <x:f>IF(A73="",0,IF('01_설정'!$B$8="all",1,IF('01_설정'!$B$8="industry_transition",IF(OR(D73="industry",D73="transition"),1,0),IF(D73='01_설정'!$B$8,1,0))))</x:f>
        <x:v>0</x:v>
      </x:c>
      <x:c r="N73" s="36" t="n">
        <x:f>IF(A73="",0,IF(AND(M73=1,J73&lt;='01_설정'!$B$7,IF(H73&gt;0,H73,I73)&gt;0,IF(H73&gt;0,H73,I73)&lt;='01_설정'!$B$6),1,0))</x:f>
        <x:v>0</x:v>
      </x:c>
      <x:c r="O73" s="36" t="n">
        <x:f>IF(H73&gt;0,YEAR(H73),0)</x:f>
        <x:v>0</x:v>
      </x:c>
      <x:c r="P73" s="36" t="n">
        <x:f>IF(A73="",0,_xlfn.MAXIFS('14_적용상태'!$J$6:$J$205,'14_적용상태'!$B$6:$B$205,A73,'14_적용상태'!$I$6:$I$205,1))</x:f>
        <x:v>0</x:v>
      </x:c>
      <x:c r="Q73" s="36" t="n">
        <x:f>IF(P73=0,0,SUMIFS('14_적용상태'!$H$6:$H$205,'14_적용상태'!$J$6:$J$205,P73))</x:f>
        <x:v>0</x:v>
      </x:c>
      <x:c r="R73" s="36" t="n">
        <x:f>IF(AND(N73=1,Q73=1),1,0)</x:f>
        <x:v>0</x:v>
      </x:c>
      <x:c r="S73" s="36" t="n">
        <x:f>IF(AND(N73=1,O73=0),1,0)</x:f>
        <x:v>0</x:v>
      </x:c>
      <x:c r="T73" s="36" t="n">
        <x:f>IF(A73="",0,IF(COUNTIF('10_방법론'!$A$6:$A$105,A73)&gt;1,1,0))</x:f>
        <x:v>0</x:v>
      </x:c>
    </x:row>
    <x:row r="74" ht="20" customHeight="1">
      <x:c r="A74" s="22"/>
      <x:c r="B74" s="22"/>
      <x:c r="C74" s="26"/>
      <x:c r="D74" s="22"/>
      <x:c r="E74" s="26"/>
      <x:c r="F74" s="22"/>
      <x:c r="G74" s="22"/>
      <x:c r="H74" s="28"/>
      <x:c r="I74" s="28"/>
      <x:c r="J74" s="28"/>
      <x:c r="K74" s="22"/>
      <x:c r="L74" s="22"/>
      <x:c r="M74" s="36" t="n">
        <x:f>IF(A74="",0,IF('01_설정'!$B$8="all",1,IF('01_설정'!$B$8="industry_transition",IF(OR(D74="industry",D74="transition"),1,0),IF(D74='01_설정'!$B$8,1,0))))</x:f>
        <x:v>0</x:v>
      </x:c>
      <x:c r="N74" s="36" t="n">
        <x:f>IF(A74="",0,IF(AND(M74=1,J74&lt;='01_설정'!$B$7,IF(H74&gt;0,H74,I74)&gt;0,IF(H74&gt;0,H74,I74)&lt;='01_설정'!$B$6),1,0))</x:f>
        <x:v>0</x:v>
      </x:c>
      <x:c r="O74" s="36" t="n">
        <x:f>IF(H74&gt;0,YEAR(H74),0)</x:f>
        <x:v>0</x:v>
      </x:c>
      <x:c r="P74" s="36" t="n">
        <x:f>IF(A74="",0,_xlfn.MAXIFS('14_적용상태'!$J$6:$J$205,'14_적용상태'!$B$6:$B$205,A74,'14_적용상태'!$I$6:$I$205,1))</x:f>
        <x:v>0</x:v>
      </x:c>
      <x:c r="Q74" s="36" t="n">
        <x:f>IF(P74=0,0,SUMIFS('14_적용상태'!$H$6:$H$205,'14_적용상태'!$J$6:$J$205,P74))</x:f>
        <x:v>0</x:v>
      </x:c>
      <x:c r="R74" s="36" t="n">
        <x:f>IF(AND(N74=1,Q74=1),1,0)</x:f>
        <x:v>0</x:v>
      </x:c>
      <x:c r="S74" s="36" t="n">
        <x:f>IF(AND(N74=1,O74=0),1,0)</x:f>
        <x:v>0</x:v>
      </x:c>
      <x:c r="T74" s="36" t="n">
        <x:f>IF(A74="",0,IF(COUNTIF('10_방법론'!$A$6:$A$105,A74)&gt;1,1,0))</x:f>
        <x:v>0</x:v>
      </x:c>
    </x:row>
    <x:row r="75" ht="20" customHeight="1">
      <x:c r="A75" s="22"/>
      <x:c r="B75" s="22"/>
      <x:c r="C75" s="26"/>
      <x:c r="D75" s="22"/>
      <x:c r="E75" s="26"/>
      <x:c r="F75" s="22"/>
      <x:c r="G75" s="22"/>
      <x:c r="H75" s="28"/>
      <x:c r="I75" s="28"/>
      <x:c r="J75" s="28"/>
      <x:c r="K75" s="22"/>
      <x:c r="L75" s="22"/>
      <x:c r="M75" s="36" t="n">
        <x:f>IF(A75="",0,IF('01_설정'!$B$8="all",1,IF('01_설정'!$B$8="industry_transition",IF(OR(D75="industry",D75="transition"),1,0),IF(D75='01_설정'!$B$8,1,0))))</x:f>
        <x:v>0</x:v>
      </x:c>
      <x:c r="N75" s="36" t="n">
        <x:f>IF(A75="",0,IF(AND(M75=1,J75&lt;='01_설정'!$B$7,IF(H75&gt;0,H75,I75)&gt;0,IF(H75&gt;0,H75,I75)&lt;='01_설정'!$B$6),1,0))</x:f>
        <x:v>0</x:v>
      </x:c>
      <x:c r="O75" s="36" t="n">
        <x:f>IF(H75&gt;0,YEAR(H75),0)</x:f>
        <x:v>0</x:v>
      </x:c>
      <x:c r="P75" s="36" t="n">
        <x:f>IF(A75="",0,_xlfn.MAXIFS('14_적용상태'!$J$6:$J$205,'14_적용상태'!$B$6:$B$205,A75,'14_적용상태'!$I$6:$I$205,1))</x:f>
        <x:v>0</x:v>
      </x:c>
      <x:c r="Q75" s="36" t="n">
        <x:f>IF(P75=0,0,SUMIFS('14_적용상태'!$H$6:$H$205,'14_적용상태'!$J$6:$J$205,P75))</x:f>
        <x:v>0</x:v>
      </x:c>
      <x:c r="R75" s="36" t="n">
        <x:f>IF(AND(N75=1,Q75=1),1,0)</x:f>
        <x:v>0</x:v>
      </x:c>
      <x:c r="S75" s="36" t="n">
        <x:f>IF(AND(N75=1,O75=0),1,0)</x:f>
        <x:v>0</x:v>
      </x:c>
      <x:c r="T75" s="36" t="n">
        <x:f>IF(A75="",0,IF(COUNTIF('10_방법론'!$A$6:$A$105,A75)&gt;1,1,0))</x:f>
        <x:v>0</x:v>
      </x:c>
    </x:row>
    <x:row r="76" ht="20" customHeight="1">
      <x:c r="A76" s="22"/>
      <x:c r="B76" s="22"/>
      <x:c r="C76" s="26"/>
      <x:c r="D76" s="22"/>
      <x:c r="E76" s="26"/>
      <x:c r="F76" s="22"/>
      <x:c r="G76" s="22"/>
      <x:c r="H76" s="28"/>
      <x:c r="I76" s="28"/>
      <x:c r="J76" s="28"/>
      <x:c r="K76" s="22"/>
      <x:c r="L76" s="22"/>
      <x:c r="M76" s="36" t="n">
        <x:f>IF(A76="",0,IF('01_설정'!$B$8="all",1,IF('01_설정'!$B$8="industry_transition",IF(OR(D76="industry",D76="transition"),1,0),IF(D76='01_설정'!$B$8,1,0))))</x:f>
        <x:v>0</x:v>
      </x:c>
      <x:c r="N76" s="36" t="n">
        <x:f>IF(A76="",0,IF(AND(M76=1,J76&lt;='01_설정'!$B$7,IF(H76&gt;0,H76,I76)&gt;0,IF(H76&gt;0,H76,I76)&lt;='01_설정'!$B$6),1,0))</x:f>
        <x:v>0</x:v>
      </x:c>
      <x:c r="O76" s="36" t="n">
        <x:f>IF(H76&gt;0,YEAR(H76),0)</x:f>
        <x:v>0</x:v>
      </x:c>
      <x:c r="P76" s="36" t="n">
        <x:f>IF(A76="",0,_xlfn.MAXIFS('14_적용상태'!$J$6:$J$205,'14_적용상태'!$B$6:$B$205,A76,'14_적용상태'!$I$6:$I$205,1))</x:f>
        <x:v>0</x:v>
      </x:c>
      <x:c r="Q76" s="36" t="n">
        <x:f>IF(P76=0,0,SUMIFS('14_적용상태'!$H$6:$H$205,'14_적용상태'!$J$6:$J$205,P76))</x:f>
        <x:v>0</x:v>
      </x:c>
      <x:c r="R76" s="36" t="n">
        <x:f>IF(AND(N76=1,Q76=1),1,0)</x:f>
        <x:v>0</x:v>
      </x:c>
      <x:c r="S76" s="36" t="n">
        <x:f>IF(AND(N76=1,O76=0),1,0)</x:f>
        <x:v>0</x:v>
      </x:c>
      <x:c r="T76" s="36" t="n">
        <x:f>IF(A76="",0,IF(COUNTIF('10_방법론'!$A$6:$A$105,A76)&gt;1,1,0))</x:f>
        <x:v>0</x:v>
      </x:c>
    </x:row>
    <x:row r="77" ht="20" customHeight="1">
      <x:c r="A77" s="22"/>
      <x:c r="B77" s="22"/>
      <x:c r="C77" s="26"/>
      <x:c r="D77" s="22"/>
      <x:c r="E77" s="26"/>
      <x:c r="F77" s="22"/>
      <x:c r="G77" s="22"/>
      <x:c r="H77" s="28"/>
      <x:c r="I77" s="28"/>
      <x:c r="J77" s="28"/>
      <x:c r="K77" s="22"/>
      <x:c r="L77" s="22"/>
      <x:c r="M77" s="36" t="n">
        <x:f>IF(A77="",0,IF('01_설정'!$B$8="all",1,IF('01_설정'!$B$8="industry_transition",IF(OR(D77="industry",D77="transition"),1,0),IF(D77='01_설정'!$B$8,1,0))))</x:f>
        <x:v>0</x:v>
      </x:c>
      <x:c r="N77" s="36" t="n">
        <x:f>IF(A77="",0,IF(AND(M77=1,J77&lt;='01_설정'!$B$7,IF(H77&gt;0,H77,I77)&gt;0,IF(H77&gt;0,H77,I77)&lt;='01_설정'!$B$6),1,0))</x:f>
        <x:v>0</x:v>
      </x:c>
      <x:c r="O77" s="36" t="n">
        <x:f>IF(H77&gt;0,YEAR(H77),0)</x:f>
        <x:v>0</x:v>
      </x:c>
      <x:c r="P77" s="36" t="n">
        <x:f>IF(A77="",0,_xlfn.MAXIFS('14_적용상태'!$J$6:$J$205,'14_적용상태'!$B$6:$B$205,A77,'14_적용상태'!$I$6:$I$205,1))</x:f>
        <x:v>0</x:v>
      </x:c>
      <x:c r="Q77" s="36" t="n">
        <x:f>IF(P77=0,0,SUMIFS('14_적용상태'!$H$6:$H$205,'14_적용상태'!$J$6:$J$205,P77))</x:f>
        <x:v>0</x:v>
      </x:c>
      <x:c r="R77" s="36" t="n">
        <x:f>IF(AND(N77=1,Q77=1),1,0)</x:f>
        <x:v>0</x:v>
      </x:c>
      <x:c r="S77" s="36" t="n">
        <x:f>IF(AND(N77=1,O77=0),1,0)</x:f>
        <x:v>0</x:v>
      </x:c>
      <x:c r="T77" s="36" t="n">
        <x:f>IF(A77="",0,IF(COUNTIF('10_방법론'!$A$6:$A$105,A77)&gt;1,1,0))</x:f>
        <x:v>0</x:v>
      </x:c>
    </x:row>
    <x:row r="78" ht="20" customHeight="1">
      <x:c r="A78" s="22"/>
      <x:c r="B78" s="22"/>
      <x:c r="C78" s="26"/>
      <x:c r="D78" s="22"/>
      <x:c r="E78" s="26"/>
      <x:c r="F78" s="22"/>
      <x:c r="G78" s="22"/>
      <x:c r="H78" s="28"/>
      <x:c r="I78" s="28"/>
      <x:c r="J78" s="28"/>
      <x:c r="K78" s="22"/>
      <x:c r="L78" s="22"/>
      <x:c r="M78" s="36" t="n">
        <x:f>IF(A78="",0,IF('01_설정'!$B$8="all",1,IF('01_설정'!$B$8="industry_transition",IF(OR(D78="industry",D78="transition"),1,0),IF(D78='01_설정'!$B$8,1,0))))</x:f>
        <x:v>0</x:v>
      </x:c>
      <x:c r="N78" s="36" t="n">
        <x:f>IF(A78="",0,IF(AND(M78=1,J78&lt;='01_설정'!$B$7,IF(H78&gt;0,H78,I78)&gt;0,IF(H78&gt;0,H78,I78)&lt;='01_설정'!$B$6),1,0))</x:f>
        <x:v>0</x:v>
      </x:c>
      <x:c r="O78" s="36" t="n">
        <x:f>IF(H78&gt;0,YEAR(H78),0)</x:f>
        <x:v>0</x:v>
      </x:c>
      <x:c r="P78" s="36" t="n">
        <x:f>IF(A78="",0,_xlfn.MAXIFS('14_적용상태'!$J$6:$J$205,'14_적용상태'!$B$6:$B$205,A78,'14_적용상태'!$I$6:$I$205,1))</x:f>
        <x:v>0</x:v>
      </x:c>
      <x:c r="Q78" s="36" t="n">
        <x:f>IF(P78=0,0,SUMIFS('14_적용상태'!$H$6:$H$205,'14_적용상태'!$J$6:$J$205,P78))</x:f>
        <x:v>0</x:v>
      </x:c>
      <x:c r="R78" s="36" t="n">
        <x:f>IF(AND(N78=1,Q78=1),1,0)</x:f>
        <x:v>0</x:v>
      </x:c>
      <x:c r="S78" s="36" t="n">
        <x:f>IF(AND(N78=1,O78=0),1,0)</x:f>
        <x:v>0</x:v>
      </x:c>
      <x:c r="T78" s="36" t="n">
        <x:f>IF(A78="",0,IF(COUNTIF('10_방법론'!$A$6:$A$105,A78)&gt;1,1,0))</x:f>
        <x:v>0</x:v>
      </x:c>
    </x:row>
    <x:row r="79" ht="20" customHeight="1">
      <x:c r="A79" s="22"/>
      <x:c r="B79" s="22"/>
      <x:c r="C79" s="26"/>
      <x:c r="D79" s="22"/>
      <x:c r="E79" s="26"/>
      <x:c r="F79" s="22"/>
      <x:c r="G79" s="22"/>
      <x:c r="H79" s="28"/>
      <x:c r="I79" s="28"/>
      <x:c r="J79" s="28"/>
      <x:c r="K79" s="22"/>
      <x:c r="L79" s="22"/>
      <x:c r="M79" s="36" t="n">
        <x:f>IF(A79="",0,IF('01_설정'!$B$8="all",1,IF('01_설정'!$B$8="industry_transition",IF(OR(D79="industry",D79="transition"),1,0),IF(D79='01_설정'!$B$8,1,0))))</x:f>
        <x:v>0</x:v>
      </x:c>
      <x:c r="N79" s="36" t="n">
        <x:f>IF(A79="",0,IF(AND(M79=1,J79&lt;='01_설정'!$B$7,IF(H79&gt;0,H79,I79)&gt;0,IF(H79&gt;0,H79,I79)&lt;='01_설정'!$B$6),1,0))</x:f>
        <x:v>0</x:v>
      </x:c>
      <x:c r="O79" s="36" t="n">
        <x:f>IF(H79&gt;0,YEAR(H79),0)</x:f>
        <x:v>0</x:v>
      </x:c>
      <x:c r="P79" s="36" t="n">
        <x:f>IF(A79="",0,_xlfn.MAXIFS('14_적용상태'!$J$6:$J$205,'14_적용상태'!$B$6:$B$205,A79,'14_적용상태'!$I$6:$I$205,1))</x:f>
        <x:v>0</x:v>
      </x:c>
      <x:c r="Q79" s="36" t="n">
        <x:f>IF(P79=0,0,SUMIFS('14_적용상태'!$H$6:$H$205,'14_적용상태'!$J$6:$J$205,P79))</x:f>
        <x:v>0</x:v>
      </x:c>
      <x:c r="R79" s="36" t="n">
        <x:f>IF(AND(N79=1,Q79=1),1,0)</x:f>
        <x:v>0</x:v>
      </x:c>
      <x:c r="S79" s="36" t="n">
        <x:f>IF(AND(N79=1,O79=0),1,0)</x:f>
        <x:v>0</x:v>
      </x:c>
      <x:c r="T79" s="36" t="n">
        <x:f>IF(A79="",0,IF(COUNTIF('10_방법론'!$A$6:$A$105,A79)&gt;1,1,0))</x:f>
        <x:v>0</x:v>
      </x:c>
    </x:row>
    <x:row r="80" ht="20" customHeight="1">
      <x:c r="A80" s="22"/>
      <x:c r="B80" s="22"/>
      <x:c r="C80" s="26"/>
      <x:c r="D80" s="22"/>
      <x:c r="E80" s="26"/>
      <x:c r="F80" s="22"/>
      <x:c r="G80" s="22"/>
      <x:c r="H80" s="28"/>
      <x:c r="I80" s="28"/>
      <x:c r="J80" s="28"/>
      <x:c r="K80" s="22"/>
      <x:c r="L80" s="22"/>
      <x:c r="M80" s="36" t="n">
        <x:f>IF(A80="",0,IF('01_설정'!$B$8="all",1,IF('01_설정'!$B$8="industry_transition",IF(OR(D80="industry",D80="transition"),1,0),IF(D80='01_설정'!$B$8,1,0))))</x:f>
        <x:v>0</x:v>
      </x:c>
      <x:c r="N80" s="36" t="n">
        <x:f>IF(A80="",0,IF(AND(M80=1,J80&lt;='01_설정'!$B$7,IF(H80&gt;0,H80,I80)&gt;0,IF(H80&gt;0,H80,I80)&lt;='01_설정'!$B$6),1,0))</x:f>
        <x:v>0</x:v>
      </x:c>
      <x:c r="O80" s="36" t="n">
        <x:f>IF(H80&gt;0,YEAR(H80),0)</x:f>
        <x:v>0</x:v>
      </x:c>
      <x:c r="P80" s="36" t="n">
        <x:f>IF(A80="",0,_xlfn.MAXIFS('14_적용상태'!$J$6:$J$205,'14_적용상태'!$B$6:$B$205,A80,'14_적용상태'!$I$6:$I$205,1))</x:f>
        <x:v>0</x:v>
      </x:c>
      <x:c r="Q80" s="36" t="n">
        <x:f>IF(P80=0,0,SUMIFS('14_적용상태'!$H$6:$H$205,'14_적용상태'!$J$6:$J$205,P80))</x:f>
        <x:v>0</x:v>
      </x:c>
      <x:c r="R80" s="36" t="n">
        <x:f>IF(AND(N80=1,Q80=1),1,0)</x:f>
        <x:v>0</x:v>
      </x:c>
      <x:c r="S80" s="36" t="n">
        <x:f>IF(AND(N80=1,O80=0),1,0)</x:f>
        <x:v>0</x:v>
      </x:c>
      <x:c r="T80" s="36" t="n">
        <x:f>IF(A80="",0,IF(COUNTIF('10_방법론'!$A$6:$A$105,A80)&gt;1,1,0))</x:f>
        <x:v>0</x:v>
      </x:c>
    </x:row>
    <x:row r="81" ht="20" customHeight="1">
      <x:c r="A81" s="22"/>
      <x:c r="B81" s="22"/>
      <x:c r="C81" s="26"/>
      <x:c r="D81" s="22"/>
      <x:c r="E81" s="26"/>
      <x:c r="F81" s="22"/>
      <x:c r="G81" s="22"/>
      <x:c r="H81" s="28"/>
      <x:c r="I81" s="28"/>
      <x:c r="J81" s="28"/>
      <x:c r="K81" s="22"/>
      <x:c r="L81" s="22"/>
      <x:c r="M81" s="36" t="n">
        <x:f>IF(A81="",0,IF('01_설정'!$B$8="all",1,IF('01_설정'!$B$8="industry_transition",IF(OR(D81="industry",D81="transition"),1,0),IF(D81='01_설정'!$B$8,1,0))))</x:f>
        <x:v>0</x:v>
      </x:c>
      <x:c r="N81" s="36" t="n">
        <x:f>IF(A81="",0,IF(AND(M81=1,J81&lt;='01_설정'!$B$7,IF(H81&gt;0,H81,I81)&gt;0,IF(H81&gt;0,H81,I81)&lt;='01_설정'!$B$6),1,0))</x:f>
        <x:v>0</x:v>
      </x:c>
      <x:c r="O81" s="36" t="n">
        <x:f>IF(H81&gt;0,YEAR(H81),0)</x:f>
        <x:v>0</x:v>
      </x:c>
      <x:c r="P81" s="36" t="n">
        <x:f>IF(A81="",0,_xlfn.MAXIFS('14_적용상태'!$J$6:$J$205,'14_적용상태'!$B$6:$B$205,A81,'14_적용상태'!$I$6:$I$205,1))</x:f>
        <x:v>0</x:v>
      </x:c>
      <x:c r="Q81" s="36" t="n">
        <x:f>IF(P81=0,0,SUMIFS('14_적용상태'!$H$6:$H$205,'14_적용상태'!$J$6:$J$205,P81))</x:f>
        <x:v>0</x:v>
      </x:c>
      <x:c r="R81" s="36" t="n">
        <x:f>IF(AND(N81=1,Q81=1),1,0)</x:f>
        <x:v>0</x:v>
      </x:c>
      <x:c r="S81" s="36" t="n">
        <x:f>IF(AND(N81=1,O81=0),1,0)</x:f>
        <x:v>0</x:v>
      </x:c>
      <x:c r="T81" s="36" t="n">
        <x:f>IF(A81="",0,IF(COUNTIF('10_방법론'!$A$6:$A$105,A81)&gt;1,1,0))</x:f>
        <x:v>0</x:v>
      </x:c>
    </x:row>
    <x:row r="82" ht="20" customHeight="1">
      <x:c r="A82" s="22"/>
      <x:c r="B82" s="22"/>
      <x:c r="C82" s="26"/>
      <x:c r="D82" s="22"/>
      <x:c r="E82" s="26"/>
      <x:c r="F82" s="22"/>
      <x:c r="G82" s="22"/>
      <x:c r="H82" s="28"/>
      <x:c r="I82" s="28"/>
      <x:c r="J82" s="28"/>
      <x:c r="K82" s="22"/>
      <x:c r="L82" s="22"/>
      <x:c r="M82" s="36" t="n">
        <x:f>IF(A82="",0,IF('01_설정'!$B$8="all",1,IF('01_설정'!$B$8="industry_transition",IF(OR(D82="industry",D82="transition"),1,0),IF(D82='01_설정'!$B$8,1,0))))</x:f>
        <x:v>0</x:v>
      </x:c>
      <x:c r="N82" s="36" t="n">
        <x:f>IF(A82="",0,IF(AND(M82=1,J82&lt;='01_설정'!$B$7,IF(H82&gt;0,H82,I82)&gt;0,IF(H82&gt;0,H82,I82)&lt;='01_설정'!$B$6),1,0))</x:f>
        <x:v>0</x:v>
      </x:c>
      <x:c r="O82" s="36" t="n">
        <x:f>IF(H82&gt;0,YEAR(H82),0)</x:f>
        <x:v>0</x:v>
      </x:c>
      <x:c r="P82" s="36" t="n">
        <x:f>IF(A82="",0,_xlfn.MAXIFS('14_적용상태'!$J$6:$J$205,'14_적용상태'!$B$6:$B$205,A82,'14_적용상태'!$I$6:$I$205,1))</x:f>
        <x:v>0</x:v>
      </x:c>
      <x:c r="Q82" s="36" t="n">
        <x:f>IF(P82=0,0,SUMIFS('14_적용상태'!$H$6:$H$205,'14_적용상태'!$J$6:$J$205,P82))</x:f>
        <x:v>0</x:v>
      </x:c>
      <x:c r="R82" s="36" t="n">
        <x:f>IF(AND(N82=1,Q82=1),1,0)</x:f>
        <x:v>0</x:v>
      </x:c>
      <x:c r="S82" s="36" t="n">
        <x:f>IF(AND(N82=1,O82=0),1,0)</x:f>
        <x:v>0</x:v>
      </x:c>
      <x:c r="T82" s="36" t="n">
        <x:f>IF(A82="",0,IF(COUNTIF('10_방법론'!$A$6:$A$105,A82)&gt;1,1,0))</x:f>
        <x:v>0</x:v>
      </x:c>
    </x:row>
    <x:row r="83" ht="20" customHeight="1">
      <x:c r="A83" s="22"/>
      <x:c r="B83" s="22"/>
      <x:c r="C83" s="26"/>
      <x:c r="D83" s="22"/>
      <x:c r="E83" s="26"/>
      <x:c r="F83" s="22"/>
      <x:c r="G83" s="22"/>
      <x:c r="H83" s="28"/>
      <x:c r="I83" s="28"/>
      <x:c r="J83" s="28"/>
      <x:c r="K83" s="22"/>
      <x:c r="L83" s="22"/>
      <x:c r="M83" s="36" t="n">
        <x:f>IF(A83="",0,IF('01_설정'!$B$8="all",1,IF('01_설정'!$B$8="industry_transition",IF(OR(D83="industry",D83="transition"),1,0),IF(D83='01_설정'!$B$8,1,0))))</x:f>
        <x:v>0</x:v>
      </x:c>
      <x:c r="N83" s="36" t="n">
        <x:f>IF(A83="",0,IF(AND(M83=1,J83&lt;='01_설정'!$B$7,IF(H83&gt;0,H83,I83)&gt;0,IF(H83&gt;0,H83,I83)&lt;='01_설정'!$B$6),1,0))</x:f>
        <x:v>0</x:v>
      </x:c>
      <x:c r="O83" s="36" t="n">
        <x:f>IF(H83&gt;0,YEAR(H83),0)</x:f>
        <x:v>0</x:v>
      </x:c>
      <x:c r="P83" s="36" t="n">
        <x:f>IF(A83="",0,_xlfn.MAXIFS('14_적용상태'!$J$6:$J$205,'14_적용상태'!$B$6:$B$205,A83,'14_적용상태'!$I$6:$I$205,1))</x:f>
        <x:v>0</x:v>
      </x:c>
      <x:c r="Q83" s="36" t="n">
        <x:f>IF(P83=0,0,SUMIFS('14_적용상태'!$H$6:$H$205,'14_적용상태'!$J$6:$J$205,P83))</x:f>
        <x:v>0</x:v>
      </x:c>
      <x:c r="R83" s="36" t="n">
        <x:f>IF(AND(N83=1,Q83=1),1,0)</x:f>
        <x:v>0</x:v>
      </x:c>
      <x:c r="S83" s="36" t="n">
        <x:f>IF(AND(N83=1,O83=0),1,0)</x:f>
        <x:v>0</x:v>
      </x:c>
      <x:c r="T83" s="36" t="n">
        <x:f>IF(A83="",0,IF(COUNTIF('10_방법론'!$A$6:$A$105,A83)&gt;1,1,0))</x:f>
        <x:v>0</x:v>
      </x:c>
    </x:row>
    <x:row r="84" ht="20" customHeight="1">
      <x:c r="A84" s="22"/>
      <x:c r="B84" s="22"/>
      <x:c r="C84" s="26"/>
      <x:c r="D84" s="22"/>
      <x:c r="E84" s="26"/>
      <x:c r="F84" s="22"/>
      <x:c r="G84" s="22"/>
      <x:c r="H84" s="28"/>
      <x:c r="I84" s="28"/>
      <x:c r="J84" s="28"/>
      <x:c r="K84" s="22"/>
      <x:c r="L84" s="22"/>
      <x:c r="M84" s="36" t="n">
        <x:f>IF(A84="",0,IF('01_설정'!$B$8="all",1,IF('01_설정'!$B$8="industry_transition",IF(OR(D84="industry",D84="transition"),1,0),IF(D84='01_설정'!$B$8,1,0))))</x:f>
        <x:v>0</x:v>
      </x:c>
      <x:c r="N84" s="36" t="n">
        <x:f>IF(A84="",0,IF(AND(M84=1,J84&lt;='01_설정'!$B$7,IF(H84&gt;0,H84,I84)&gt;0,IF(H84&gt;0,H84,I84)&lt;='01_설정'!$B$6),1,0))</x:f>
        <x:v>0</x:v>
      </x:c>
      <x:c r="O84" s="36" t="n">
        <x:f>IF(H84&gt;0,YEAR(H84),0)</x:f>
        <x:v>0</x:v>
      </x:c>
      <x:c r="P84" s="36" t="n">
        <x:f>IF(A84="",0,_xlfn.MAXIFS('14_적용상태'!$J$6:$J$205,'14_적용상태'!$B$6:$B$205,A84,'14_적용상태'!$I$6:$I$205,1))</x:f>
        <x:v>0</x:v>
      </x:c>
      <x:c r="Q84" s="36" t="n">
        <x:f>IF(P84=0,0,SUMIFS('14_적용상태'!$H$6:$H$205,'14_적용상태'!$J$6:$J$205,P84))</x:f>
        <x:v>0</x:v>
      </x:c>
      <x:c r="R84" s="36" t="n">
        <x:f>IF(AND(N84=1,Q84=1),1,0)</x:f>
        <x:v>0</x:v>
      </x:c>
      <x:c r="S84" s="36" t="n">
        <x:f>IF(AND(N84=1,O84=0),1,0)</x:f>
        <x:v>0</x:v>
      </x:c>
      <x:c r="T84" s="36" t="n">
        <x:f>IF(A84="",0,IF(COUNTIF('10_방법론'!$A$6:$A$105,A84)&gt;1,1,0))</x:f>
        <x:v>0</x:v>
      </x:c>
    </x:row>
    <x:row r="85" ht="20" customHeight="1">
      <x:c r="A85" s="22"/>
      <x:c r="B85" s="22"/>
      <x:c r="C85" s="26"/>
      <x:c r="D85" s="22"/>
      <x:c r="E85" s="26"/>
      <x:c r="F85" s="22"/>
      <x:c r="G85" s="22"/>
      <x:c r="H85" s="28"/>
      <x:c r="I85" s="28"/>
      <x:c r="J85" s="28"/>
      <x:c r="K85" s="22"/>
      <x:c r="L85" s="22"/>
      <x:c r="M85" s="36" t="n">
        <x:f>IF(A85="",0,IF('01_설정'!$B$8="all",1,IF('01_설정'!$B$8="industry_transition",IF(OR(D85="industry",D85="transition"),1,0),IF(D85='01_설정'!$B$8,1,0))))</x:f>
        <x:v>0</x:v>
      </x:c>
      <x:c r="N85" s="36" t="n">
        <x:f>IF(A85="",0,IF(AND(M85=1,J85&lt;='01_설정'!$B$7,IF(H85&gt;0,H85,I85)&gt;0,IF(H85&gt;0,H85,I85)&lt;='01_설정'!$B$6),1,0))</x:f>
        <x:v>0</x:v>
      </x:c>
      <x:c r="O85" s="36" t="n">
        <x:f>IF(H85&gt;0,YEAR(H85),0)</x:f>
        <x:v>0</x:v>
      </x:c>
      <x:c r="P85" s="36" t="n">
        <x:f>IF(A85="",0,_xlfn.MAXIFS('14_적용상태'!$J$6:$J$205,'14_적용상태'!$B$6:$B$205,A85,'14_적용상태'!$I$6:$I$205,1))</x:f>
        <x:v>0</x:v>
      </x:c>
      <x:c r="Q85" s="36" t="n">
        <x:f>IF(P85=0,0,SUMIFS('14_적용상태'!$H$6:$H$205,'14_적용상태'!$J$6:$J$205,P85))</x:f>
        <x:v>0</x:v>
      </x:c>
      <x:c r="R85" s="36" t="n">
        <x:f>IF(AND(N85=1,Q85=1),1,0)</x:f>
        <x:v>0</x:v>
      </x:c>
      <x:c r="S85" s="36" t="n">
        <x:f>IF(AND(N85=1,O85=0),1,0)</x:f>
        <x:v>0</x:v>
      </x:c>
      <x:c r="T85" s="36" t="n">
        <x:f>IF(A85="",0,IF(COUNTIF('10_방법론'!$A$6:$A$105,A85)&gt;1,1,0))</x:f>
        <x:v>0</x:v>
      </x:c>
    </x:row>
    <x:row r="86" ht="20" customHeight="1">
      <x:c r="A86" s="22"/>
      <x:c r="B86" s="22"/>
      <x:c r="C86" s="26"/>
      <x:c r="D86" s="22"/>
      <x:c r="E86" s="26"/>
      <x:c r="F86" s="22"/>
      <x:c r="G86" s="22"/>
      <x:c r="H86" s="28"/>
      <x:c r="I86" s="28"/>
      <x:c r="J86" s="28"/>
      <x:c r="K86" s="22"/>
      <x:c r="L86" s="22"/>
      <x:c r="M86" s="36" t="n">
        <x:f>IF(A86="",0,IF('01_설정'!$B$8="all",1,IF('01_설정'!$B$8="industry_transition",IF(OR(D86="industry",D86="transition"),1,0),IF(D86='01_설정'!$B$8,1,0))))</x:f>
        <x:v>0</x:v>
      </x:c>
      <x:c r="N86" s="36" t="n">
        <x:f>IF(A86="",0,IF(AND(M86=1,J86&lt;='01_설정'!$B$7,IF(H86&gt;0,H86,I86)&gt;0,IF(H86&gt;0,H86,I86)&lt;='01_설정'!$B$6),1,0))</x:f>
        <x:v>0</x:v>
      </x:c>
      <x:c r="O86" s="36" t="n">
        <x:f>IF(H86&gt;0,YEAR(H86),0)</x:f>
        <x:v>0</x:v>
      </x:c>
      <x:c r="P86" s="36" t="n">
        <x:f>IF(A86="",0,_xlfn.MAXIFS('14_적용상태'!$J$6:$J$205,'14_적용상태'!$B$6:$B$205,A86,'14_적용상태'!$I$6:$I$205,1))</x:f>
        <x:v>0</x:v>
      </x:c>
      <x:c r="Q86" s="36" t="n">
        <x:f>IF(P86=0,0,SUMIFS('14_적용상태'!$H$6:$H$205,'14_적용상태'!$J$6:$J$205,P86))</x:f>
        <x:v>0</x:v>
      </x:c>
      <x:c r="R86" s="36" t="n">
        <x:f>IF(AND(N86=1,Q86=1),1,0)</x:f>
        <x:v>0</x:v>
      </x:c>
      <x:c r="S86" s="36" t="n">
        <x:f>IF(AND(N86=1,O86=0),1,0)</x:f>
        <x:v>0</x:v>
      </x:c>
      <x:c r="T86" s="36" t="n">
        <x:f>IF(A86="",0,IF(COUNTIF('10_방법론'!$A$6:$A$105,A86)&gt;1,1,0))</x:f>
        <x:v>0</x:v>
      </x:c>
    </x:row>
    <x:row r="87" ht="20" customHeight="1">
      <x:c r="A87" s="22"/>
      <x:c r="B87" s="22"/>
      <x:c r="C87" s="26"/>
      <x:c r="D87" s="22"/>
      <x:c r="E87" s="26"/>
      <x:c r="F87" s="22"/>
      <x:c r="G87" s="22"/>
      <x:c r="H87" s="28"/>
      <x:c r="I87" s="28"/>
      <x:c r="J87" s="28"/>
      <x:c r="K87" s="22"/>
      <x:c r="L87" s="22"/>
      <x:c r="M87" s="36" t="n">
        <x:f>IF(A87="",0,IF('01_설정'!$B$8="all",1,IF('01_설정'!$B$8="industry_transition",IF(OR(D87="industry",D87="transition"),1,0),IF(D87='01_설정'!$B$8,1,0))))</x:f>
        <x:v>0</x:v>
      </x:c>
      <x:c r="N87" s="36" t="n">
        <x:f>IF(A87="",0,IF(AND(M87=1,J87&lt;='01_설정'!$B$7,IF(H87&gt;0,H87,I87)&gt;0,IF(H87&gt;0,H87,I87)&lt;='01_설정'!$B$6),1,0))</x:f>
        <x:v>0</x:v>
      </x:c>
      <x:c r="O87" s="36" t="n">
        <x:f>IF(H87&gt;0,YEAR(H87),0)</x:f>
        <x:v>0</x:v>
      </x:c>
      <x:c r="P87" s="36" t="n">
        <x:f>IF(A87="",0,_xlfn.MAXIFS('14_적용상태'!$J$6:$J$205,'14_적용상태'!$B$6:$B$205,A87,'14_적용상태'!$I$6:$I$205,1))</x:f>
        <x:v>0</x:v>
      </x:c>
      <x:c r="Q87" s="36" t="n">
        <x:f>IF(P87=0,0,SUMIFS('14_적용상태'!$H$6:$H$205,'14_적용상태'!$J$6:$J$205,P87))</x:f>
        <x:v>0</x:v>
      </x:c>
      <x:c r="R87" s="36" t="n">
        <x:f>IF(AND(N87=1,Q87=1),1,0)</x:f>
        <x:v>0</x:v>
      </x:c>
      <x:c r="S87" s="36" t="n">
        <x:f>IF(AND(N87=1,O87=0),1,0)</x:f>
        <x:v>0</x:v>
      </x:c>
      <x:c r="T87" s="36" t="n">
        <x:f>IF(A87="",0,IF(COUNTIF('10_방법론'!$A$6:$A$105,A87)&gt;1,1,0))</x:f>
        <x:v>0</x:v>
      </x:c>
    </x:row>
    <x:row r="88" ht="20" customHeight="1">
      <x:c r="A88" s="22"/>
      <x:c r="B88" s="22"/>
      <x:c r="C88" s="26"/>
      <x:c r="D88" s="22"/>
      <x:c r="E88" s="26"/>
      <x:c r="F88" s="22"/>
      <x:c r="G88" s="22"/>
      <x:c r="H88" s="28"/>
      <x:c r="I88" s="28"/>
      <x:c r="J88" s="28"/>
      <x:c r="K88" s="22"/>
      <x:c r="L88" s="22"/>
      <x:c r="M88" s="36" t="n">
        <x:f>IF(A88="",0,IF('01_설정'!$B$8="all",1,IF('01_설정'!$B$8="industry_transition",IF(OR(D88="industry",D88="transition"),1,0),IF(D88='01_설정'!$B$8,1,0))))</x:f>
        <x:v>0</x:v>
      </x:c>
      <x:c r="N88" s="36" t="n">
        <x:f>IF(A88="",0,IF(AND(M88=1,J88&lt;='01_설정'!$B$7,IF(H88&gt;0,H88,I88)&gt;0,IF(H88&gt;0,H88,I88)&lt;='01_설정'!$B$6),1,0))</x:f>
        <x:v>0</x:v>
      </x:c>
      <x:c r="O88" s="36" t="n">
        <x:f>IF(H88&gt;0,YEAR(H88),0)</x:f>
        <x:v>0</x:v>
      </x:c>
      <x:c r="P88" s="36" t="n">
        <x:f>IF(A88="",0,_xlfn.MAXIFS('14_적용상태'!$J$6:$J$205,'14_적용상태'!$B$6:$B$205,A88,'14_적용상태'!$I$6:$I$205,1))</x:f>
        <x:v>0</x:v>
      </x:c>
      <x:c r="Q88" s="36" t="n">
        <x:f>IF(P88=0,0,SUMIFS('14_적용상태'!$H$6:$H$205,'14_적용상태'!$J$6:$J$205,P88))</x:f>
        <x:v>0</x:v>
      </x:c>
      <x:c r="R88" s="36" t="n">
        <x:f>IF(AND(N88=1,Q88=1),1,0)</x:f>
        <x:v>0</x:v>
      </x:c>
      <x:c r="S88" s="36" t="n">
        <x:f>IF(AND(N88=1,O88=0),1,0)</x:f>
        <x:v>0</x:v>
      </x:c>
      <x:c r="T88" s="36" t="n">
        <x:f>IF(A88="",0,IF(COUNTIF('10_방법론'!$A$6:$A$105,A88)&gt;1,1,0))</x:f>
        <x:v>0</x:v>
      </x:c>
    </x:row>
    <x:row r="89" ht="20" customHeight="1">
      <x:c r="A89" s="22"/>
      <x:c r="B89" s="22"/>
      <x:c r="C89" s="26"/>
      <x:c r="D89" s="22"/>
      <x:c r="E89" s="26"/>
      <x:c r="F89" s="22"/>
      <x:c r="G89" s="22"/>
      <x:c r="H89" s="28"/>
      <x:c r="I89" s="28"/>
      <x:c r="J89" s="28"/>
      <x:c r="K89" s="22"/>
      <x:c r="L89" s="22"/>
      <x:c r="M89" s="36" t="n">
        <x:f>IF(A89="",0,IF('01_설정'!$B$8="all",1,IF('01_설정'!$B$8="industry_transition",IF(OR(D89="industry",D89="transition"),1,0),IF(D89='01_설정'!$B$8,1,0))))</x:f>
        <x:v>0</x:v>
      </x:c>
      <x:c r="N89" s="36" t="n">
        <x:f>IF(A89="",0,IF(AND(M89=1,J89&lt;='01_설정'!$B$7,IF(H89&gt;0,H89,I89)&gt;0,IF(H89&gt;0,H89,I89)&lt;='01_설정'!$B$6),1,0))</x:f>
        <x:v>0</x:v>
      </x:c>
      <x:c r="O89" s="36" t="n">
        <x:f>IF(H89&gt;0,YEAR(H89),0)</x:f>
        <x:v>0</x:v>
      </x:c>
      <x:c r="P89" s="36" t="n">
        <x:f>IF(A89="",0,_xlfn.MAXIFS('14_적용상태'!$J$6:$J$205,'14_적용상태'!$B$6:$B$205,A89,'14_적용상태'!$I$6:$I$205,1))</x:f>
        <x:v>0</x:v>
      </x:c>
      <x:c r="Q89" s="36" t="n">
        <x:f>IF(P89=0,0,SUMIFS('14_적용상태'!$H$6:$H$205,'14_적용상태'!$J$6:$J$205,P89))</x:f>
        <x:v>0</x:v>
      </x:c>
      <x:c r="R89" s="36" t="n">
        <x:f>IF(AND(N89=1,Q89=1),1,0)</x:f>
        <x:v>0</x:v>
      </x:c>
      <x:c r="S89" s="36" t="n">
        <x:f>IF(AND(N89=1,O89=0),1,0)</x:f>
        <x:v>0</x:v>
      </x:c>
      <x:c r="T89" s="36" t="n">
        <x:f>IF(A89="",0,IF(COUNTIF('10_방법론'!$A$6:$A$105,A89)&gt;1,1,0))</x:f>
        <x:v>0</x:v>
      </x:c>
    </x:row>
    <x:row r="90" ht="20" customHeight="1">
      <x:c r="A90" s="22"/>
      <x:c r="B90" s="22"/>
      <x:c r="C90" s="26"/>
      <x:c r="D90" s="22"/>
      <x:c r="E90" s="26"/>
      <x:c r="F90" s="22"/>
      <x:c r="G90" s="22"/>
      <x:c r="H90" s="28"/>
      <x:c r="I90" s="28"/>
      <x:c r="J90" s="28"/>
      <x:c r="K90" s="22"/>
      <x:c r="L90" s="22"/>
      <x:c r="M90" s="36" t="n">
        <x:f>IF(A90="",0,IF('01_설정'!$B$8="all",1,IF('01_설정'!$B$8="industry_transition",IF(OR(D90="industry",D90="transition"),1,0),IF(D90='01_설정'!$B$8,1,0))))</x:f>
        <x:v>0</x:v>
      </x:c>
      <x:c r="N90" s="36" t="n">
        <x:f>IF(A90="",0,IF(AND(M90=1,J90&lt;='01_설정'!$B$7,IF(H90&gt;0,H90,I90)&gt;0,IF(H90&gt;0,H90,I90)&lt;='01_설정'!$B$6),1,0))</x:f>
        <x:v>0</x:v>
      </x:c>
      <x:c r="O90" s="36" t="n">
        <x:f>IF(H90&gt;0,YEAR(H90),0)</x:f>
        <x:v>0</x:v>
      </x:c>
      <x:c r="P90" s="36" t="n">
        <x:f>IF(A90="",0,_xlfn.MAXIFS('14_적용상태'!$J$6:$J$205,'14_적용상태'!$B$6:$B$205,A90,'14_적용상태'!$I$6:$I$205,1))</x:f>
        <x:v>0</x:v>
      </x:c>
      <x:c r="Q90" s="36" t="n">
        <x:f>IF(P90=0,0,SUMIFS('14_적용상태'!$H$6:$H$205,'14_적용상태'!$J$6:$J$205,P90))</x:f>
        <x:v>0</x:v>
      </x:c>
      <x:c r="R90" s="36" t="n">
        <x:f>IF(AND(N90=1,Q90=1),1,0)</x:f>
        <x:v>0</x:v>
      </x:c>
      <x:c r="S90" s="36" t="n">
        <x:f>IF(AND(N90=1,O90=0),1,0)</x:f>
        <x:v>0</x:v>
      </x:c>
      <x:c r="T90" s="36" t="n">
        <x:f>IF(A90="",0,IF(COUNTIF('10_방법론'!$A$6:$A$105,A90)&gt;1,1,0))</x:f>
        <x:v>0</x:v>
      </x:c>
    </x:row>
    <x:row r="91" ht="20" customHeight="1">
      <x:c r="A91" s="22"/>
      <x:c r="B91" s="22"/>
      <x:c r="C91" s="26"/>
      <x:c r="D91" s="22"/>
      <x:c r="E91" s="26"/>
      <x:c r="F91" s="22"/>
      <x:c r="G91" s="22"/>
      <x:c r="H91" s="28"/>
      <x:c r="I91" s="28"/>
      <x:c r="J91" s="28"/>
      <x:c r="K91" s="22"/>
      <x:c r="L91" s="22"/>
      <x:c r="M91" s="36" t="n">
        <x:f>IF(A91="",0,IF('01_설정'!$B$8="all",1,IF('01_설정'!$B$8="industry_transition",IF(OR(D91="industry",D91="transition"),1,0),IF(D91='01_설정'!$B$8,1,0))))</x:f>
        <x:v>0</x:v>
      </x:c>
      <x:c r="N91" s="36" t="n">
        <x:f>IF(A91="",0,IF(AND(M91=1,J91&lt;='01_설정'!$B$7,IF(H91&gt;0,H91,I91)&gt;0,IF(H91&gt;0,H91,I91)&lt;='01_설정'!$B$6),1,0))</x:f>
        <x:v>0</x:v>
      </x:c>
      <x:c r="O91" s="36" t="n">
        <x:f>IF(H91&gt;0,YEAR(H91),0)</x:f>
        <x:v>0</x:v>
      </x:c>
      <x:c r="P91" s="36" t="n">
        <x:f>IF(A91="",0,_xlfn.MAXIFS('14_적용상태'!$J$6:$J$205,'14_적용상태'!$B$6:$B$205,A91,'14_적용상태'!$I$6:$I$205,1))</x:f>
        <x:v>0</x:v>
      </x:c>
      <x:c r="Q91" s="36" t="n">
        <x:f>IF(P91=0,0,SUMIFS('14_적용상태'!$H$6:$H$205,'14_적용상태'!$J$6:$J$205,P91))</x:f>
        <x:v>0</x:v>
      </x:c>
      <x:c r="R91" s="36" t="n">
        <x:f>IF(AND(N91=1,Q91=1),1,0)</x:f>
        <x:v>0</x:v>
      </x:c>
      <x:c r="S91" s="36" t="n">
        <x:f>IF(AND(N91=1,O91=0),1,0)</x:f>
        <x:v>0</x:v>
      </x:c>
      <x:c r="T91" s="36" t="n">
        <x:f>IF(A91="",0,IF(COUNTIF('10_방법론'!$A$6:$A$105,A91)&gt;1,1,0))</x:f>
        <x:v>0</x:v>
      </x:c>
    </x:row>
    <x:row r="92" ht="20" customHeight="1">
      <x:c r="A92" s="22"/>
      <x:c r="B92" s="22"/>
      <x:c r="C92" s="26"/>
      <x:c r="D92" s="22"/>
      <x:c r="E92" s="26"/>
      <x:c r="F92" s="22"/>
      <x:c r="G92" s="22"/>
      <x:c r="H92" s="28"/>
      <x:c r="I92" s="28"/>
      <x:c r="J92" s="28"/>
      <x:c r="K92" s="22"/>
      <x:c r="L92" s="22"/>
      <x:c r="M92" s="36" t="n">
        <x:f>IF(A92="",0,IF('01_설정'!$B$8="all",1,IF('01_설정'!$B$8="industry_transition",IF(OR(D92="industry",D92="transition"),1,0),IF(D92='01_설정'!$B$8,1,0))))</x:f>
        <x:v>0</x:v>
      </x:c>
      <x:c r="N92" s="36" t="n">
        <x:f>IF(A92="",0,IF(AND(M92=1,J92&lt;='01_설정'!$B$7,IF(H92&gt;0,H92,I92)&gt;0,IF(H92&gt;0,H92,I92)&lt;='01_설정'!$B$6),1,0))</x:f>
        <x:v>0</x:v>
      </x:c>
      <x:c r="O92" s="36" t="n">
        <x:f>IF(H92&gt;0,YEAR(H92),0)</x:f>
        <x:v>0</x:v>
      </x:c>
      <x:c r="P92" s="36" t="n">
        <x:f>IF(A92="",0,_xlfn.MAXIFS('14_적용상태'!$J$6:$J$205,'14_적용상태'!$B$6:$B$205,A92,'14_적용상태'!$I$6:$I$205,1))</x:f>
        <x:v>0</x:v>
      </x:c>
      <x:c r="Q92" s="36" t="n">
        <x:f>IF(P92=0,0,SUMIFS('14_적용상태'!$H$6:$H$205,'14_적용상태'!$J$6:$J$205,P92))</x:f>
        <x:v>0</x:v>
      </x:c>
      <x:c r="R92" s="36" t="n">
        <x:f>IF(AND(N92=1,Q92=1),1,0)</x:f>
        <x:v>0</x:v>
      </x:c>
      <x:c r="S92" s="36" t="n">
        <x:f>IF(AND(N92=1,O92=0),1,0)</x:f>
        <x:v>0</x:v>
      </x:c>
      <x:c r="T92" s="36" t="n">
        <x:f>IF(A92="",0,IF(COUNTIF('10_방법론'!$A$6:$A$105,A92)&gt;1,1,0))</x:f>
        <x:v>0</x:v>
      </x:c>
    </x:row>
    <x:row r="93" ht="20" customHeight="1">
      <x:c r="A93" s="22"/>
      <x:c r="B93" s="22"/>
      <x:c r="C93" s="26"/>
      <x:c r="D93" s="22"/>
      <x:c r="E93" s="26"/>
      <x:c r="F93" s="22"/>
      <x:c r="G93" s="22"/>
      <x:c r="H93" s="28"/>
      <x:c r="I93" s="28"/>
      <x:c r="J93" s="28"/>
      <x:c r="K93" s="22"/>
      <x:c r="L93" s="22"/>
      <x:c r="M93" s="36" t="n">
        <x:f>IF(A93="",0,IF('01_설정'!$B$8="all",1,IF('01_설정'!$B$8="industry_transition",IF(OR(D93="industry",D93="transition"),1,0),IF(D93='01_설정'!$B$8,1,0))))</x:f>
        <x:v>0</x:v>
      </x:c>
      <x:c r="N93" s="36" t="n">
        <x:f>IF(A93="",0,IF(AND(M93=1,J93&lt;='01_설정'!$B$7,IF(H93&gt;0,H93,I93)&gt;0,IF(H93&gt;0,H93,I93)&lt;='01_설정'!$B$6),1,0))</x:f>
        <x:v>0</x:v>
      </x:c>
      <x:c r="O93" s="36" t="n">
        <x:f>IF(H93&gt;0,YEAR(H93),0)</x:f>
        <x:v>0</x:v>
      </x:c>
      <x:c r="P93" s="36" t="n">
        <x:f>IF(A93="",0,_xlfn.MAXIFS('14_적용상태'!$J$6:$J$205,'14_적용상태'!$B$6:$B$205,A93,'14_적용상태'!$I$6:$I$205,1))</x:f>
        <x:v>0</x:v>
      </x:c>
      <x:c r="Q93" s="36" t="n">
        <x:f>IF(P93=0,0,SUMIFS('14_적용상태'!$H$6:$H$205,'14_적용상태'!$J$6:$J$205,P93))</x:f>
        <x:v>0</x:v>
      </x:c>
      <x:c r="R93" s="36" t="n">
        <x:f>IF(AND(N93=1,Q93=1),1,0)</x:f>
        <x:v>0</x:v>
      </x:c>
      <x:c r="S93" s="36" t="n">
        <x:f>IF(AND(N93=1,O93=0),1,0)</x:f>
        <x:v>0</x:v>
      </x:c>
      <x:c r="T93" s="36" t="n">
        <x:f>IF(A93="",0,IF(COUNTIF('10_방법론'!$A$6:$A$105,A93)&gt;1,1,0))</x:f>
        <x:v>0</x:v>
      </x:c>
    </x:row>
    <x:row r="94" ht="20" customHeight="1">
      <x:c r="A94" s="22"/>
      <x:c r="B94" s="22"/>
      <x:c r="C94" s="26"/>
      <x:c r="D94" s="22"/>
      <x:c r="E94" s="26"/>
      <x:c r="F94" s="22"/>
      <x:c r="G94" s="22"/>
      <x:c r="H94" s="28"/>
      <x:c r="I94" s="28"/>
      <x:c r="J94" s="28"/>
      <x:c r="K94" s="22"/>
      <x:c r="L94" s="22"/>
      <x:c r="M94" s="36" t="n">
        <x:f>IF(A94="",0,IF('01_설정'!$B$8="all",1,IF('01_설정'!$B$8="industry_transition",IF(OR(D94="industry",D94="transition"),1,0),IF(D94='01_설정'!$B$8,1,0))))</x:f>
        <x:v>0</x:v>
      </x:c>
      <x:c r="N94" s="36" t="n">
        <x:f>IF(A94="",0,IF(AND(M94=1,J94&lt;='01_설정'!$B$7,IF(H94&gt;0,H94,I94)&gt;0,IF(H94&gt;0,H94,I94)&lt;='01_설정'!$B$6),1,0))</x:f>
        <x:v>0</x:v>
      </x:c>
      <x:c r="O94" s="36" t="n">
        <x:f>IF(H94&gt;0,YEAR(H94),0)</x:f>
        <x:v>0</x:v>
      </x:c>
      <x:c r="P94" s="36" t="n">
        <x:f>IF(A94="",0,_xlfn.MAXIFS('14_적용상태'!$J$6:$J$205,'14_적용상태'!$B$6:$B$205,A94,'14_적용상태'!$I$6:$I$205,1))</x:f>
        <x:v>0</x:v>
      </x:c>
      <x:c r="Q94" s="36" t="n">
        <x:f>IF(P94=0,0,SUMIFS('14_적용상태'!$H$6:$H$205,'14_적용상태'!$J$6:$J$205,P94))</x:f>
        <x:v>0</x:v>
      </x:c>
      <x:c r="R94" s="36" t="n">
        <x:f>IF(AND(N94=1,Q94=1),1,0)</x:f>
        <x:v>0</x:v>
      </x:c>
      <x:c r="S94" s="36" t="n">
        <x:f>IF(AND(N94=1,O94=0),1,0)</x:f>
        <x:v>0</x:v>
      </x:c>
      <x:c r="T94" s="36" t="n">
        <x:f>IF(A94="",0,IF(COUNTIF('10_방법론'!$A$6:$A$105,A94)&gt;1,1,0))</x:f>
        <x:v>0</x:v>
      </x:c>
    </x:row>
    <x:row r="95" ht="20" customHeight="1">
      <x:c r="A95" s="22"/>
      <x:c r="B95" s="22"/>
      <x:c r="C95" s="26"/>
      <x:c r="D95" s="22"/>
      <x:c r="E95" s="26"/>
      <x:c r="F95" s="22"/>
      <x:c r="G95" s="22"/>
      <x:c r="H95" s="28"/>
      <x:c r="I95" s="28"/>
      <x:c r="J95" s="28"/>
      <x:c r="K95" s="22"/>
      <x:c r="L95" s="22"/>
      <x:c r="M95" s="36" t="n">
        <x:f>IF(A95="",0,IF('01_설정'!$B$8="all",1,IF('01_설정'!$B$8="industry_transition",IF(OR(D95="industry",D95="transition"),1,0),IF(D95='01_설정'!$B$8,1,0))))</x:f>
        <x:v>0</x:v>
      </x:c>
      <x:c r="N95" s="36" t="n">
        <x:f>IF(A95="",0,IF(AND(M95=1,J95&lt;='01_설정'!$B$7,IF(H95&gt;0,H95,I95)&gt;0,IF(H95&gt;0,H95,I95)&lt;='01_설정'!$B$6),1,0))</x:f>
        <x:v>0</x:v>
      </x:c>
      <x:c r="O95" s="36" t="n">
        <x:f>IF(H95&gt;0,YEAR(H95),0)</x:f>
        <x:v>0</x:v>
      </x:c>
      <x:c r="P95" s="36" t="n">
        <x:f>IF(A95="",0,_xlfn.MAXIFS('14_적용상태'!$J$6:$J$205,'14_적용상태'!$B$6:$B$205,A95,'14_적용상태'!$I$6:$I$205,1))</x:f>
        <x:v>0</x:v>
      </x:c>
      <x:c r="Q95" s="36" t="n">
        <x:f>IF(P95=0,0,SUMIFS('14_적용상태'!$H$6:$H$205,'14_적용상태'!$J$6:$J$205,P95))</x:f>
        <x:v>0</x:v>
      </x:c>
      <x:c r="R95" s="36" t="n">
        <x:f>IF(AND(N95=1,Q95=1),1,0)</x:f>
        <x:v>0</x:v>
      </x:c>
      <x:c r="S95" s="36" t="n">
        <x:f>IF(AND(N95=1,O95=0),1,0)</x:f>
        <x:v>0</x:v>
      </x:c>
      <x:c r="T95" s="36" t="n">
        <x:f>IF(A95="",0,IF(COUNTIF('10_방법론'!$A$6:$A$105,A95)&gt;1,1,0))</x:f>
        <x:v>0</x:v>
      </x:c>
    </x:row>
    <x:row r="96" ht="20" customHeight="1">
      <x:c r="A96" s="22"/>
      <x:c r="B96" s="22"/>
      <x:c r="C96" s="26"/>
      <x:c r="D96" s="22"/>
      <x:c r="E96" s="26"/>
      <x:c r="F96" s="22"/>
      <x:c r="G96" s="22"/>
      <x:c r="H96" s="28"/>
      <x:c r="I96" s="28"/>
      <x:c r="J96" s="28"/>
      <x:c r="K96" s="22"/>
      <x:c r="L96" s="22"/>
      <x:c r="M96" s="36" t="n">
        <x:f>IF(A96="",0,IF('01_설정'!$B$8="all",1,IF('01_설정'!$B$8="industry_transition",IF(OR(D96="industry",D96="transition"),1,0),IF(D96='01_설정'!$B$8,1,0))))</x:f>
        <x:v>0</x:v>
      </x:c>
      <x:c r="N96" s="36" t="n">
        <x:f>IF(A96="",0,IF(AND(M96=1,J96&lt;='01_설정'!$B$7,IF(H96&gt;0,H96,I96)&gt;0,IF(H96&gt;0,H96,I96)&lt;='01_설정'!$B$6),1,0))</x:f>
        <x:v>0</x:v>
      </x:c>
      <x:c r="O96" s="36" t="n">
        <x:f>IF(H96&gt;0,YEAR(H96),0)</x:f>
        <x:v>0</x:v>
      </x:c>
      <x:c r="P96" s="36" t="n">
        <x:f>IF(A96="",0,_xlfn.MAXIFS('14_적용상태'!$J$6:$J$205,'14_적용상태'!$B$6:$B$205,A96,'14_적용상태'!$I$6:$I$205,1))</x:f>
        <x:v>0</x:v>
      </x:c>
      <x:c r="Q96" s="36" t="n">
        <x:f>IF(P96=0,0,SUMIFS('14_적용상태'!$H$6:$H$205,'14_적용상태'!$J$6:$J$205,P96))</x:f>
        <x:v>0</x:v>
      </x:c>
      <x:c r="R96" s="36" t="n">
        <x:f>IF(AND(N96=1,Q96=1),1,0)</x:f>
        <x:v>0</x:v>
      </x:c>
      <x:c r="S96" s="36" t="n">
        <x:f>IF(AND(N96=1,O96=0),1,0)</x:f>
        <x:v>0</x:v>
      </x:c>
      <x:c r="T96" s="36" t="n">
        <x:f>IF(A96="",0,IF(COUNTIF('10_방법론'!$A$6:$A$105,A96)&gt;1,1,0))</x:f>
        <x:v>0</x:v>
      </x:c>
    </x:row>
    <x:row r="97" ht="20" customHeight="1">
      <x:c r="A97" s="22"/>
      <x:c r="B97" s="22"/>
      <x:c r="C97" s="26"/>
      <x:c r="D97" s="22"/>
      <x:c r="E97" s="26"/>
      <x:c r="F97" s="22"/>
      <x:c r="G97" s="22"/>
      <x:c r="H97" s="28"/>
      <x:c r="I97" s="28"/>
      <x:c r="J97" s="28"/>
      <x:c r="K97" s="22"/>
      <x:c r="L97" s="22"/>
      <x:c r="M97" s="36" t="n">
        <x:f>IF(A97="",0,IF('01_설정'!$B$8="all",1,IF('01_설정'!$B$8="industry_transition",IF(OR(D97="industry",D97="transition"),1,0),IF(D97='01_설정'!$B$8,1,0))))</x:f>
        <x:v>0</x:v>
      </x:c>
      <x:c r="N97" s="36" t="n">
        <x:f>IF(A97="",0,IF(AND(M97=1,J97&lt;='01_설정'!$B$7,IF(H97&gt;0,H97,I97)&gt;0,IF(H97&gt;0,H97,I97)&lt;='01_설정'!$B$6),1,0))</x:f>
        <x:v>0</x:v>
      </x:c>
      <x:c r="O97" s="36" t="n">
        <x:f>IF(H97&gt;0,YEAR(H97),0)</x:f>
        <x:v>0</x:v>
      </x:c>
      <x:c r="P97" s="36" t="n">
        <x:f>IF(A97="",0,_xlfn.MAXIFS('14_적용상태'!$J$6:$J$205,'14_적용상태'!$B$6:$B$205,A97,'14_적용상태'!$I$6:$I$205,1))</x:f>
        <x:v>0</x:v>
      </x:c>
      <x:c r="Q97" s="36" t="n">
        <x:f>IF(P97=0,0,SUMIFS('14_적용상태'!$H$6:$H$205,'14_적용상태'!$J$6:$J$205,P97))</x:f>
        <x:v>0</x:v>
      </x:c>
      <x:c r="R97" s="36" t="n">
        <x:f>IF(AND(N97=1,Q97=1),1,0)</x:f>
        <x:v>0</x:v>
      </x:c>
      <x:c r="S97" s="36" t="n">
        <x:f>IF(AND(N97=1,O97=0),1,0)</x:f>
        <x:v>0</x:v>
      </x:c>
      <x:c r="T97" s="36" t="n">
        <x:f>IF(A97="",0,IF(COUNTIF('10_방법론'!$A$6:$A$105,A97)&gt;1,1,0))</x:f>
        <x:v>0</x:v>
      </x:c>
    </x:row>
    <x:row r="98" ht="20" customHeight="1">
      <x:c r="A98" s="22"/>
      <x:c r="B98" s="22"/>
      <x:c r="C98" s="26"/>
      <x:c r="D98" s="22"/>
      <x:c r="E98" s="26"/>
      <x:c r="F98" s="22"/>
      <x:c r="G98" s="22"/>
      <x:c r="H98" s="28"/>
      <x:c r="I98" s="28"/>
      <x:c r="J98" s="28"/>
      <x:c r="K98" s="22"/>
      <x:c r="L98" s="22"/>
      <x:c r="M98" s="36" t="n">
        <x:f>IF(A98="",0,IF('01_설정'!$B$8="all",1,IF('01_설정'!$B$8="industry_transition",IF(OR(D98="industry",D98="transition"),1,0),IF(D98='01_설정'!$B$8,1,0))))</x:f>
        <x:v>0</x:v>
      </x:c>
      <x:c r="N98" s="36" t="n">
        <x:f>IF(A98="",0,IF(AND(M98=1,J98&lt;='01_설정'!$B$7,IF(H98&gt;0,H98,I98)&gt;0,IF(H98&gt;0,H98,I98)&lt;='01_설정'!$B$6),1,0))</x:f>
        <x:v>0</x:v>
      </x:c>
      <x:c r="O98" s="36" t="n">
        <x:f>IF(H98&gt;0,YEAR(H98),0)</x:f>
        <x:v>0</x:v>
      </x:c>
      <x:c r="P98" s="36" t="n">
        <x:f>IF(A98="",0,_xlfn.MAXIFS('14_적용상태'!$J$6:$J$205,'14_적용상태'!$B$6:$B$205,A98,'14_적용상태'!$I$6:$I$205,1))</x:f>
        <x:v>0</x:v>
      </x:c>
      <x:c r="Q98" s="36" t="n">
        <x:f>IF(P98=0,0,SUMIFS('14_적용상태'!$H$6:$H$205,'14_적용상태'!$J$6:$J$205,P98))</x:f>
        <x:v>0</x:v>
      </x:c>
      <x:c r="R98" s="36" t="n">
        <x:f>IF(AND(N98=1,Q98=1),1,0)</x:f>
        <x:v>0</x:v>
      </x:c>
      <x:c r="S98" s="36" t="n">
        <x:f>IF(AND(N98=1,O98=0),1,0)</x:f>
        <x:v>0</x:v>
      </x:c>
      <x:c r="T98" s="36" t="n">
        <x:f>IF(A98="",0,IF(COUNTIF('10_방법론'!$A$6:$A$105,A98)&gt;1,1,0))</x:f>
        <x:v>0</x:v>
      </x:c>
    </x:row>
    <x:row r="99" ht="20" customHeight="1">
      <x:c r="A99" s="22"/>
      <x:c r="B99" s="22"/>
      <x:c r="C99" s="26"/>
      <x:c r="D99" s="22"/>
      <x:c r="E99" s="26"/>
      <x:c r="F99" s="22"/>
      <x:c r="G99" s="22"/>
      <x:c r="H99" s="28"/>
      <x:c r="I99" s="28"/>
      <x:c r="J99" s="28"/>
      <x:c r="K99" s="22"/>
      <x:c r="L99" s="22"/>
      <x:c r="M99" s="36" t="n">
        <x:f>IF(A99="",0,IF('01_설정'!$B$8="all",1,IF('01_설정'!$B$8="industry_transition",IF(OR(D99="industry",D99="transition"),1,0),IF(D99='01_설정'!$B$8,1,0))))</x:f>
        <x:v>0</x:v>
      </x:c>
      <x:c r="N99" s="36" t="n">
        <x:f>IF(A99="",0,IF(AND(M99=1,J99&lt;='01_설정'!$B$7,IF(H99&gt;0,H99,I99)&gt;0,IF(H99&gt;0,H99,I99)&lt;='01_설정'!$B$6),1,0))</x:f>
        <x:v>0</x:v>
      </x:c>
      <x:c r="O99" s="36" t="n">
        <x:f>IF(H99&gt;0,YEAR(H99),0)</x:f>
        <x:v>0</x:v>
      </x:c>
      <x:c r="P99" s="36" t="n">
        <x:f>IF(A99="",0,_xlfn.MAXIFS('14_적용상태'!$J$6:$J$205,'14_적용상태'!$B$6:$B$205,A99,'14_적용상태'!$I$6:$I$205,1))</x:f>
        <x:v>0</x:v>
      </x:c>
      <x:c r="Q99" s="36" t="n">
        <x:f>IF(P99=0,0,SUMIFS('14_적용상태'!$H$6:$H$205,'14_적용상태'!$J$6:$J$205,P99))</x:f>
        <x:v>0</x:v>
      </x:c>
      <x:c r="R99" s="36" t="n">
        <x:f>IF(AND(N99=1,Q99=1),1,0)</x:f>
        <x:v>0</x:v>
      </x:c>
      <x:c r="S99" s="36" t="n">
        <x:f>IF(AND(N99=1,O99=0),1,0)</x:f>
        <x:v>0</x:v>
      </x:c>
      <x:c r="T99" s="36" t="n">
        <x:f>IF(A99="",0,IF(COUNTIF('10_방법론'!$A$6:$A$105,A99)&gt;1,1,0))</x:f>
        <x:v>0</x:v>
      </x:c>
    </x:row>
    <x:row r="100" ht="20" customHeight="1">
      <x:c r="A100" s="22"/>
      <x:c r="B100" s="22"/>
      <x:c r="C100" s="26"/>
      <x:c r="D100" s="22"/>
      <x:c r="E100" s="26"/>
      <x:c r="F100" s="22"/>
      <x:c r="G100" s="22"/>
      <x:c r="H100" s="28"/>
      <x:c r="I100" s="28"/>
      <x:c r="J100" s="28"/>
      <x:c r="K100" s="22"/>
      <x:c r="L100" s="22"/>
      <x:c r="M100" s="36" t="n">
        <x:f>IF(A100="",0,IF('01_설정'!$B$8="all",1,IF('01_설정'!$B$8="industry_transition",IF(OR(D100="industry",D100="transition"),1,0),IF(D100='01_설정'!$B$8,1,0))))</x:f>
        <x:v>0</x:v>
      </x:c>
      <x:c r="N100" s="36" t="n">
        <x:f>IF(A100="",0,IF(AND(M100=1,J100&lt;='01_설정'!$B$7,IF(H100&gt;0,H100,I100)&gt;0,IF(H100&gt;0,H100,I100)&lt;='01_설정'!$B$6),1,0))</x:f>
        <x:v>0</x:v>
      </x:c>
      <x:c r="O100" s="36" t="n">
        <x:f>IF(H100&gt;0,YEAR(H100),0)</x:f>
        <x:v>0</x:v>
      </x:c>
      <x:c r="P100" s="36" t="n">
        <x:f>IF(A100="",0,_xlfn.MAXIFS('14_적용상태'!$J$6:$J$205,'14_적용상태'!$B$6:$B$205,A100,'14_적용상태'!$I$6:$I$205,1))</x:f>
        <x:v>0</x:v>
      </x:c>
      <x:c r="Q100" s="36" t="n">
        <x:f>IF(P100=0,0,SUMIFS('14_적용상태'!$H$6:$H$205,'14_적용상태'!$J$6:$J$205,P100))</x:f>
        <x:v>0</x:v>
      </x:c>
      <x:c r="R100" s="36" t="n">
        <x:f>IF(AND(N100=1,Q100=1),1,0)</x:f>
        <x:v>0</x:v>
      </x:c>
      <x:c r="S100" s="36" t="n">
        <x:f>IF(AND(N100=1,O100=0),1,0)</x:f>
        <x:v>0</x:v>
      </x:c>
      <x:c r="T100" s="36" t="n">
        <x:f>IF(A100="",0,IF(COUNTIF('10_방법론'!$A$6:$A$105,A100)&gt;1,1,0))</x:f>
        <x:v>0</x:v>
      </x:c>
    </x:row>
    <x:row r="101" ht="20" customHeight="1">
      <x:c r="A101" s="22"/>
      <x:c r="B101" s="22"/>
      <x:c r="C101" s="26"/>
      <x:c r="D101" s="22"/>
      <x:c r="E101" s="26"/>
      <x:c r="F101" s="22"/>
      <x:c r="G101" s="22"/>
      <x:c r="H101" s="28"/>
      <x:c r="I101" s="28"/>
      <x:c r="J101" s="28"/>
      <x:c r="K101" s="22"/>
      <x:c r="L101" s="22"/>
      <x:c r="M101" s="36" t="n">
        <x:f>IF(A101="",0,IF('01_설정'!$B$8="all",1,IF('01_설정'!$B$8="industry_transition",IF(OR(D101="industry",D101="transition"),1,0),IF(D101='01_설정'!$B$8,1,0))))</x:f>
        <x:v>0</x:v>
      </x:c>
      <x:c r="N101" s="36" t="n">
        <x:f>IF(A101="",0,IF(AND(M101=1,J101&lt;='01_설정'!$B$7,IF(H101&gt;0,H101,I101)&gt;0,IF(H101&gt;0,H101,I101)&lt;='01_설정'!$B$6),1,0))</x:f>
        <x:v>0</x:v>
      </x:c>
      <x:c r="O101" s="36" t="n">
        <x:f>IF(H101&gt;0,YEAR(H101),0)</x:f>
        <x:v>0</x:v>
      </x:c>
      <x:c r="P101" s="36" t="n">
        <x:f>IF(A101="",0,_xlfn.MAXIFS('14_적용상태'!$J$6:$J$205,'14_적용상태'!$B$6:$B$205,A101,'14_적용상태'!$I$6:$I$205,1))</x:f>
        <x:v>0</x:v>
      </x:c>
      <x:c r="Q101" s="36" t="n">
        <x:f>IF(P101=0,0,SUMIFS('14_적용상태'!$H$6:$H$205,'14_적용상태'!$J$6:$J$205,P101))</x:f>
        <x:v>0</x:v>
      </x:c>
      <x:c r="R101" s="36" t="n">
        <x:f>IF(AND(N101=1,Q101=1),1,0)</x:f>
        <x:v>0</x:v>
      </x:c>
      <x:c r="S101" s="36" t="n">
        <x:f>IF(AND(N101=1,O101=0),1,0)</x:f>
        <x:v>0</x:v>
      </x:c>
      <x:c r="T101" s="36" t="n">
        <x:f>IF(A101="",0,IF(COUNTIF('10_방법론'!$A$6:$A$105,A101)&gt;1,1,0))</x:f>
        <x:v>0</x:v>
      </x:c>
    </x:row>
    <x:row r="102" ht="20" customHeight="1">
      <x:c r="A102" s="22"/>
      <x:c r="B102" s="22"/>
      <x:c r="C102" s="26"/>
      <x:c r="D102" s="22"/>
      <x:c r="E102" s="26"/>
      <x:c r="F102" s="22"/>
      <x:c r="G102" s="22"/>
      <x:c r="H102" s="28"/>
      <x:c r="I102" s="28"/>
      <x:c r="J102" s="28"/>
      <x:c r="K102" s="22"/>
      <x:c r="L102" s="22"/>
      <x:c r="M102" s="36" t="n">
        <x:f>IF(A102="",0,IF('01_설정'!$B$8="all",1,IF('01_설정'!$B$8="industry_transition",IF(OR(D102="industry",D102="transition"),1,0),IF(D102='01_설정'!$B$8,1,0))))</x:f>
        <x:v>0</x:v>
      </x:c>
      <x:c r="N102" s="36" t="n">
        <x:f>IF(A102="",0,IF(AND(M102=1,J102&lt;='01_설정'!$B$7,IF(H102&gt;0,H102,I102)&gt;0,IF(H102&gt;0,H102,I102)&lt;='01_설정'!$B$6),1,0))</x:f>
        <x:v>0</x:v>
      </x:c>
      <x:c r="O102" s="36" t="n">
        <x:f>IF(H102&gt;0,YEAR(H102),0)</x:f>
        <x:v>0</x:v>
      </x:c>
      <x:c r="P102" s="36" t="n">
        <x:f>IF(A102="",0,_xlfn.MAXIFS('14_적용상태'!$J$6:$J$205,'14_적용상태'!$B$6:$B$205,A102,'14_적용상태'!$I$6:$I$205,1))</x:f>
        <x:v>0</x:v>
      </x:c>
      <x:c r="Q102" s="36" t="n">
        <x:f>IF(P102=0,0,SUMIFS('14_적용상태'!$H$6:$H$205,'14_적용상태'!$J$6:$J$205,P102))</x:f>
        <x:v>0</x:v>
      </x:c>
      <x:c r="R102" s="36" t="n">
        <x:f>IF(AND(N102=1,Q102=1),1,0)</x:f>
        <x:v>0</x:v>
      </x:c>
      <x:c r="S102" s="36" t="n">
        <x:f>IF(AND(N102=1,O102=0),1,0)</x:f>
        <x:v>0</x:v>
      </x:c>
      <x:c r="T102" s="36" t="n">
        <x:f>IF(A102="",0,IF(COUNTIF('10_방법론'!$A$6:$A$105,A102)&gt;1,1,0))</x:f>
        <x:v>0</x:v>
      </x:c>
    </x:row>
    <x:row r="103" ht="20" customHeight="1">
      <x:c r="A103" s="22"/>
      <x:c r="B103" s="22"/>
      <x:c r="C103" s="26"/>
      <x:c r="D103" s="22"/>
      <x:c r="E103" s="26"/>
      <x:c r="F103" s="22"/>
      <x:c r="G103" s="22"/>
      <x:c r="H103" s="28"/>
      <x:c r="I103" s="28"/>
      <x:c r="J103" s="28"/>
      <x:c r="K103" s="22"/>
      <x:c r="L103" s="22"/>
      <x:c r="M103" s="36" t="n">
        <x:f>IF(A103="",0,IF('01_설정'!$B$8="all",1,IF('01_설정'!$B$8="industry_transition",IF(OR(D103="industry",D103="transition"),1,0),IF(D103='01_설정'!$B$8,1,0))))</x:f>
        <x:v>0</x:v>
      </x:c>
      <x:c r="N103" s="36" t="n">
        <x:f>IF(A103="",0,IF(AND(M103=1,J103&lt;='01_설정'!$B$7,IF(H103&gt;0,H103,I103)&gt;0,IF(H103&gt;0,H103,I103)&lt;='01_설정'!$B$6),1,0))</x:f>
        <x:v>0</x:v>
      </x:c>
      <x:c r="O103" s="36" t="n">
        <x:f>IF(H103&gt;0,YEAR(H103),0)</x:f>
        <x:v>0</x:v>
      </x:c>
      <x:c r="P103" s="36" t="n">
        <x:f>IF(A103="",0,_xlfn.MAXIFS('14_적용상태'!$J$6:$J$205,'14_적용상태'!$B$6:$B$205,A103,'14_적용상태'!$I$6:$I$205,1))</x:f>
        <x:v>0</x:v>
      </x:c>
      <x:c r="Q103" s="36" t="n">
        <x:f>IF(P103=0,0,SUMIFS('14_적용상태'!$H$6:$H$205,'14_적용상태'!$J$6:$J$205,P103))</x:f>
        <x:v>0</x:v>
      </x:c>
      <x:c r="R103" s="36" t="n">
        <x:f>IF(AND(N103=1,Q103=1),1,0)</x:f>
        <x:v>0</x:v>
      </x:c>
      <x:c r="S103" s="36" t="n">
        <x:f>IF(AND(N103=1,O103=0),1,0)</x:f>
        <x:v>0</x:v>
      </x:c>
      <x:c r="T103" s="36" t="n">
        <x:f>IF(A103="",0,IF(COUNTIF('10_방법론'!$A$6:$A$105,A103)&gt;1,1,0))</x:f>
        <x:v>0</x:v>
      </x:c>
    </x:row>
    <x:row r="104" ht="20" customHeight="1">
      <x:c r="A104" s="22"/>
      <x:c r="B104" s="22"/>
      <x:c r="C104" s="26"/>
      <x:c r="D104" s="22"/>
      <x:c r="E104" s="26"/>
      <x:c r="F104" s="22"/>
      <x:c r="G104" s="22"/>
      <x:c r="H104" s="28"/>
      <x:c r="I104" s="28"/>
      <x:c r="J104" s="28"/>
      <x:c r="K104" s="22"/>
      <x:c r="L104" s="22"/>
      <x:c r="M104" s="36" t="n">
        <x:f>IF(A104="",0,IF('01_설정'!$B$8="all",1,IF('01_설정'!$B$8="industry_transition",IF(OR(D104="industry",D104="transition"),1,0),IF(D104='01_설정'!$B$8,1,0))))</x:f>
        <x:v>0</x:v>
      </x:c>
      <x:c r="N104" s="36" t="n">
        <x:f>IF(A104="",0,IF(AND(M104=1,J104&lt;='01_설정'!$B$7,IF(H104&gt;0,H104,I104)&gt;0,IF(H104&gt;0,H104,I104)&lt;='01_설정'!$B$6),1,0))</x:f>
        <x:v>0</x:v>
      </x:c>
      <x:c r="O104" s="36" t="n">
        <x:f>IF(H104&gt;0,YEAR(H104),0)</x:f>
        <x:v>0</x:v>
      </x:c>
      <x:c r="P104" s="36" t="n">
        <x:f>IF(A104="",0,_xlfn.MAXIFS('14_적용상태'!$J$6:$J$205,'14_적용상태'!$B$6:$B$205,A104,'14_적용상태'!$I$6:$I$205,1))</x:f>
        <x:v>0</x:v>
      </x:c>
      <x:c r="Q104" s="36" t="n">
        <x:f>IF(P104=0,0,SUMIFS('14_적용상태'!$H$6:$H$205,'14_적용상태'!$J$6:$J$205,P104))</x:f>
        <x:v>0</x:v>
      </x:c>
      <x:c r="R104" s="36" t="n">
        <x:f>IF(AND(N104=1,Q104=1),1,0)</x:f>
        <x:v>0</x:v>
      </x:c>
      <x:c r="S104" s="36" t="n">
        <x:f>IF(AND(N104=1,O104=0),1,0)</x:f>
        <x:v>0</x:v>
      </x:c>
      <x:c r="T104" s="36" t="n">
        <x:f>IF(A104="",0,IF(COUNTIF('10_방법론'!$A$6:$A$105,A104)&gt;1,1,0))</x:f>
        <x:v>0</x:v>
      </x:c>
    </x:row>
    <x:row r="105" ht="20" customHeight="1">
      <x:c r="A105" s="22"/>
      <x:c r="B105" s="22"/>
      <x:c r="C105" s="26"/>
      <x:c r="D105" s="22"/>
      <x:c r="E105" s="26"/>
      <x:c r="F105" s="22"/>
      <x:c r="G105" s="22"/>
      <x:c r="H105" s="28"/>
      <x:c r="I105" s="28"/>
      <x:c r="J105" s="28"/>
      <x:c r="K105" s="22"/>
      <x:c r="L105" s="22"/>
      <x:c r="M105" s="36" t="n">
        <x:f>IF(A105="",0,IF('01_설정'!$B$8="all",1,IF('01_설정'!$B$8="industry_transition",IF(OR(D105="industry",D105="transition"),1,0),IF(D105='01_설정'!$B$8,1,0))))</x:f>
        <x:v>0</x:v>
      </x:c>
      <x:c r="N105" s="36" t="n">
        <x:f>IF(A105="",0,IF(AND(M105=1,J105&lt;='01_설정'!$B$7,IF(H105&gt;0,H105,I105)&gt;0,IF(H105&gt;0,H105,I105)&lt;='01_설정'!$B$6),1,0))</x:f>
        <x:v>0</x:v>
      </x:c>
      <x:c r="O105" s="36" t="n">
        <x:f>IF(H105&gt;0,YEAR(H105),0)</x:f>
        <x:v>0</x:v>
      </x:c>
      <x:c r="P105" s="36" t="n">
        <x:f>IF(A105="",0,_xlfn.MAXIFS('14_적용상태'!$J$6:$J$205,'14_적용상태'!$B$6:$B$205,A105,'14_적용상태'!$I$6:$I$205,1))</x:f>
        <x:v>0</x:v>
      </x:c>
      <x:c r="Q105" s="36" t="n">
        <x:f>IF(P105=0,0,SUMIFS('14_적용상태'!$H$6:$H$205,'14_적용상태'!$J$6:$J$205,P105))</x:f>
        <x:v>0</x:v>
      </x:c>
      <x:c r="R105" s="36" t="n">
        <x:f>IF(AND(N105=1,Q105=1),1,0)</x:f>
        <x:v>0</x:v>
      </x:c>
      <x:c r="S105" s="36" t="n">
        <x:f>IF(AND(N105=1,O105=0),1,0)</x:f>
        <x:v>0</x:v>
      </x:c>
      <x:c r="T105" s="36" t="n">
        <x:f>IF(A105="",0,IF(COUNTIF('10_방법론'!$A$6:$A$105,A105)&gt;1,1,0))</x:f>
        <x:v>0</x:v>
      </x:c>
    </x:row>
  </x:sheetData>
  <x:mergeCells>
    <x:mergeCell ref="A1:T1"/>
    <x:mergeCell ref="A2:T3"/>
  </x:mergeCells>
  <x:dataValidations count="2">
    <x:dataValidation type="list" sqref="D6:D105">
      <x:formula1>"industry,transition,other,unclassified"</x:formula1>
    </x:dataValidation>
    <x:dataValidation type="list" sqref="L6:L10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84910ef622443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2" customHeight="1">
      <x:c r="A1" s="7" t="str">
        <x:v>versions | 입력 원장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1" customHeight="1">
      <x:c r="A2" s="15" t="str">
        <x:v>5행 영문 헤더·파란 글씨 열=JSON 교환 입력. 오른쪽 회색 계산열 수정 금지. 새 자료는 준비된 빈 행에 입력; 용량 초과 시 수식 범위 확장 필요.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33" t="str">
        <x:v>id</x:v>
      </x:c>
      <x:c r="B5" s="33" t="str">
        <x:v>methodology_id</x:v>
      </x:c>
      <x:c r="C5" s="33" t="str">
        <x:v>version</x:v>
      </x:c>
      <x:c r="D5" s="33" t="str">
        <x:v>change_type</x:v>
      </x:c>
      <x:c r="E5" s="33" t="str">
        <x:v>registered_on</x:v>
      </x:c>
      <x:c r="F5" s="33" t="str">
        <x:v>effective_from</x:v>
      </x:c>
      <x:c r="G5" s="33" t="str">
        <x:v>recorded_on</x:v>
      </x:c>
      <x:c r="H5" s="33" t="str">
        <x:v>source_id</x:v>
      </x:c>
      <x:c r="I5" s="38" t="str">
        <x:v>집계 포함</x:v>
      </x:c>
      <x:c r="J5" s="38" t="str">
        <x:v>등록연도</x:v>
      </x:c>
      <x:c r="K5" s="38" t="str">
        <x:v>ID 중복</x:v>
      </x:c>
    </x:row>
    <x:row r="6" ht="20" customHeight="1">
      <x:c r="A6" s="22" t="str">
        <x:v>DEMO-V001-01</x:v>
      </x:c>
      <x:c r="B6" s="22" t="str">
        <x:v>DEMO-M001</x:v>
      </x:c>
      <x:c r="C6" s="22" t="str">
        <x:v>01</x:v>
      </x:c>
      <x:c r="D6" s="22" t="str">
        <x:v>new</x:v>
      </x:c>
      <x:c r="E6" s="28" t="n">
        <x:v>43905</x:v>
      </x:c>
      <x:c r="F6" s="28" t="n">
        <x:v>43905</x:v>
      </x:c>
      <x:c r="G6" s="28" t="n">
        <x:v>43905</x:v>
      </x:c>
      <x:c r="H6" s="22" t="str">
        <x:v>DEMO-PUBLIC</x:v>
      </x:c>
      <x:c r="I6" s="12" t="n">
        <x:f>IF(A6="",0,IF(AND(SUMIFS('10_방법론'!$N$6:$N$105,'10_방법론'!$A$6:$A$105,B6)=1,E6&gt;0,E6&lt;='01_설정'!$B$6,G6&lt;='01_설정'!$B$7),1,0))</x:f>
        <x:v>1</x:v>
      </x:c>
      <x:c r="J6" s="12" t="n">
        <x:f>IF(E6&gt;0,YEAR(E6),0)</x:f>
        <x:v>2020</x:v>
      </x:c>
      <x:c r="K6" s="12" t="n">
        <x:f>IF(A6="",0,IF(COUNTIF('11_버전'!$A$6:$A$205,A6)&gt;1,1,0))</x:f>
        <x:v>0</x:v>
      </x:c>
    </x:row>
    <x:row r="7" ht="20" customHeight="1">
      <x:c r="A7" s="22" t="str">
        <x:v>DEMO-V002-01</x:v>
      </x:c>
      <x:c r="B7" s="22" t="str">
        <x:v>DEMO-M002</x:v>
      </x:c>
      <x:c r="C7" s="22" t="str">
        <x:v>01</x:v>
      </x:c>
      <x:c r="D7" s="22" t="str">
        <x:v>new</x:v>
      </x:c>
      <x:c r="E7" s="28" t="n">
        <x:v>44357</x:v>
      </x:c>
      <x:c r="F7" s="28" t="n">
        <x:v>44357</x:v>
      </x:c>
      <x:c r="G7" s="28" t="n">
        <x:v>44357</x:v>
      </x:c>
      <x:c r="H7" s="22" t="str">
        <x:v>DEMO-PUBLIC</x:v>
      </x:c>
      <x:c r="I7" s="12" t="n">
        <x:f>IF(A7="",0,IF(AND(SUMIFS('10_방법론'!$N$6:$N$105,'10_방법론'!$A$6:$A$105,B7)=1,E7&gt;0,E7&lt;='01_설정'!$B$6,G7&lt;='01_설정'!$B$7),1,0))</x:f>
        <x:v>1</x:v>
      </x:c>
      <x:c r="J7" s="12" t="n">
        <x:f>IF(E7&gt;0,YEAR(E7),0)</x:f>
        <x:v>2021</x:v>
      </x:c>
      <x:c r="K7" s="12" t="n">
        <x:f>IF(A7="",0,IF(COUNTIF('11_버전'!$A$6:$A$205,A7)&gt;1,1,0))</x:f>
        <x:v>0</x:v>
      </x:c>
    </x:row>
    <x:row r="8" ht="20" customHeight="1">
      <x:c r="A8" s="22" t="str">
        <x:v>DEMO-V003-01</x:v>
      </x:c>
      <x:c r="B8" s="22" t="str">
        <x:v>DEMO-M003</x:v>
      </x:c>
      <x:c r="C8" s="22" t="str">
        <x:v>01</x:v>
      </x:c>
      <x:c r="D8" s="22" t="str">
        <x:v>new</x:v>
      </x:c>
      <x:c r="E8" s="28" t="n">
        <x:v>44805</x:v>
      </x:c>
      <x:c r="F8" s="28" t="n">
        <x:v>44805</x:v>
      </x:c>
      <x:c r="G8" s="28" t="n">
        <x:v>44805</x:v>
      </x:c>
      <x:c r="H8" s="22" t="str">
        <x:v>DEMO-PUBLIC</x:v>
      </x:c>
      <x:c r="I8" s="12" t="n">
        <x:f>IF(A8="",0,IF(AND(SUMIFS('10_방법론'!$N$6:$N$105,'10_방법론'!$A$6:$A$105,B8)=1,E8&gt;0,E8&lt;='01_설정'!$B$6,G8&lt;='01_설정'!$B$7),1,0))</x:f>
        <x:v>1</x:v>
      </x:c>
      <x:c r="J8" s="12" t="n">
        <x:f>IF(E8&gt;0,YEAR(E8),0)</x:f>
        <x:v>2022</x:v>
      </x:c>
      <x:c r="K8" s="12" t="n">
        <x:f>IF(A8="",0,IF(COUNTIF('11_버전'!$A$6:$A$205,A8)&gt;1,1,0))</x:f>
        <x:v>0</x:v>
      </x:c>
    </x:row>
    <x:row r="9" ht="20" customHeight="1">
      <x:c r="A9" s="22" t="str">
        <x:v>DEMO-V004-01</x:v>
      </x:c>
      <x:c r="B9" s="22" t="str">
        <x:v>DEMO-M004</x:v>
      </x:c>
      <x:c r="C9" s="22" t="str">
        <x:v>01</x:v>
      </x:c>
      <x:c r="D9" s="22" t="str">
        <x:v>new</x:v>
      </x:c>
      <x:c r="E9" s="28" t="n">
        <x:v>45023</x:v>
      </x:c>
      <x:c r="F9" s="28" t="n">
        <x:v>45023</x:v>
      </x:c>
      <x:c r="G9" s="28" t="n">
        <x:v>45023</x:v>
      </x:c>
      <x:c r="H9" s="22" t="str">
        <x:v>DEMO-PUBLIC</x:v>
      </x:c>
      <x:c r="I9" s="12" t="n">
        <x:f>IF(A9="",0,IF(AND(SUMIFS('10_방법론'!$N$6:$N$105,'10_방법론'!$A$6:$A$105,B9)=1,E9&gt;0,E9&lt;='01_설정'!$B$6,G9&lt;='01_설정'!$B$7),1,0))</x:f>
        <x:v>1</x:v>
      </x:c>
      <x:c r="J9" s="12" t="n">
        <x:f>IF(E9&gt;0,YEAR(E9),0)</x:f>
        <x:v>2023</x:v>
      </x:c>
      <x:c r="K9" s="12" t="n">
        <x:f>IF(A9="",0,IF(COUNTIF('11_버전'!$A$6:$A$205,A9)&gt;1,1,0))</x:f>
        <x:v>0</x:v>
      </x:c>
    </x:row>
    <x:row r="10" ht="20" customHeight="1">
      <x:c r="A10" s="22" t="str">
        <x:v>DEMO-V005-01</x:v>
      </x:c>
      <x:c r="B10" s="22" t="str">
        <x:v>DEMO-M005</x:v>
      </x:c>
      <x:c r="C10" s="22" t="str">
        <x:v>01</x:v>
      </x:c>
      <x:c r="D10" s="22" t="str">
        <x:v>new</x:v>
      </x:c>
      <x:c r="E10" s="28" t="n">
        <x:v>45310</x:v>
      </x:c>
      <x:c r="F10" s="28" t="n">
        <x:v>45310</x:v>
      </x:c>
      <x:c r="G10" s="28" t="n">
        <x:v>45310</x:v>
      </x:c>
      <x:c r="H10" s="22" t="str">
        <x:v>DEMO-PUBLIC</x:v>
      </x:c>
      <x:c r="I10" s="12" t="n">
        <x:f>IF(A10="",0,IF(AND(SUMIFS('10_방법론'!$N$6:$N$105,'10_방법론'!$A$6:$A$105,B10)=1,E10&gt;0,E10&lt;='01_설정'!$B$6,G10&lt;='01_설정'!$B$7),1,0))</x:f>
        <x:v>1</x:v>
      </x:c>
      <x:c r="J10" s="12" t="n">
        <x:f>IF(E10&gt;0,YEAR(E10),0)</x:f>
        <x:v>2024</x:v>
      </x:c>
      <x:c r="K10" s="12" t="n">
        <x:f>IF(A10="",0,IF(COUNTIF('11_버전'!$A$6:$A$205,A10)&gt;1,1,0))</x:f>
        <x:v>0</x:v>
      </x:c>
    </x:row>
    <x:row r="11" ht="20" customHeight="1">
      <x:c r="A11" s="22" t="str">
        <x:v>DEMO-V006-01</x:v>
      </x:c>
      <x:c r="B11" s="22" t="str">
        <x:v>DEMO-M006</x:v>
      </x:c>
      <x:c r="C11" s="22" t="str">
        <x:v>01</x:v>
      </x:c>
      <x:c r="D11" s="22" t="str">
        <x:v>new</x:v>
      </x:c>
      <x:c r="E11" s="28" t="n">
        <x:v>45860</x:v>
      </x:c>
      <x:c r="F11" s="28" t="n">
        <x:v>45860</x:v>
      </x:c>
      <x:c r="G11" s="28" t="n">
        <x:v>45860</x:v>
      </x:c>
      <x:c r="H11" s="22" t="str">
        <x:v>DEMO-PUBLIC</x:v>
      </x:c>
      <x:c r="I11" s="12" t="n">
        <x:f>IF(A11="",0,IF(AND(SUMIFS('10_방법론'!$N$6:$N$105,'10_방법론'!$A$6:$A$105,B11)=1,E11&gt;0,E11&lt;='01_설정'!$B$6,G11&lt;='01_설정'!$B$7),1,0))</x:f>
        <x:v>1</x:v>
      </x:c>
      <x:c r="J11" s="12" t="n">
        <x:f>IF(E11&gt;0,YEAR(E11),0)</x:f>
        <x:v>2025</x:v>
      </x:c>
      <x:c r="K11" s="12" t="n">
        <x:f>IF(A11="",0,IF(COUNTIF('11_버전'!$A$6:$A$205,A11)&gt;1,1,0))</x:f>
        <x:v>0</x:v>
      </x:c>
    </x:row>
    <x:row r="12" ht="20" customHeight="1">
      <x:c r="A12" s="22" t="str">
        <x:v>DEMO-V007-01</x:v>
      </x:c>
      <x:c r="B12" s="22" t="str">
        <x:v>DEMO-M007</x:v>
      </x:c>
      <x:c r="C12" s="22" t="str">
        <x:v>01</x:v>
      </x:c>
      <x:c r="D12" s="22" t="str">
        <x:v>new</x:v>
      </x:c>
      <x:c r="E12" s="28" t="n">
        <x:v>46065</x:v>
      </x:c>
      <x:c r="F12" s="28" t="n">
        <x:v>46065</x:v>
      </x:c>
      <x:c r="G12" s="28" t="n">
        <x:v>46065</x:v>
      </x:c>
      <x:c r="H12" s="22" t="str">
        <x:v>DEMO-PUBLIC</x:v>
      </x:c>
      <x:c r="I12" s="12" t="n">
        <x:f>IF(A12="",0,IF(AND(SUMIFS('10_방법론'!$N$6:$N$105,'10_방법론'!$A$6:$A$105,B12)=1,E12&gt;0,E12&lt;='01_설정'!$B$6,G12&lt;='01_설정'!$B$7),1,0))</x:f>
        <x:v>1</x:v>
      </x:c>
      <x:c r="J12" s="12" t="n">
        <x:f>IF(E12&gt;0,YEAR(E12),0)</x:f>
        <x:v>2026</x:v>
      </x:c>
      <x:c r="K12" s="12" t="n">
        <x:f>IF(A12="",0,IF(COUNTIF('11_버전'!$A$6:$A$205,A12)&gt;1,1,0))</x:f>
        <x:v>0</x:v>
      </x:c>
    </x:row>
    <x:row r="13" ht="20" customHeight="1">
      <x:c r="A13" s="22" t="str">
        <x:v>DEMO-V008-01</x:v>
      </x:c>
      <x:c r="B13" s="22" t="str">
        <x:v>DEMO-M008</x:v>
      </x:c>
      <x:c r="C13" s="22" t="str">
        <x:v>01</x:v>
      </x:c>
      <x:c r="D13" s="22" t="str">
        <x:v>new</x:v>
      </x:c>
      <x:c r="E13" s="28"/>
      <x:c r="F13" s="28" t="n">
        <x:v>46235</x:v>
      </x:c>
      <x:c r="G13" s="28" t="n">
        <x:v>46235</x:v>
      </x:c>
      <x:c r="H13" s="22" t="str">
        <x:v>DEMO-PUBLIC</x:v>
      </x:c>
      <x:c r="I13" s="12" t="n">
        <x:f>IF(A13="",0,IF(AND(SUMIFS('10_방법론'!$N$6:$N$105,'10_방법론'!$A$6:$A$105,B13)=1,E13&gt;0,E13&lt;='01_설정'!$B$6,G13&lt;='01_설정'!$B$7),1,0))</x:f>
        <x:v>0</x:v>
      </x:c>
      <x:c r="J13" s="12" t="n">
        <x:f>IF(E13&gt;0,YEAR(E13),0)</x:f>
        <x:v>0</x:v>
      </x:c>
      <x:c r="K13" s="12" t="n">
        <x:f>IF(A13="",0,IF(COUNTIF('11_버전'!$A$6:$A$205,A13)&gt;1,1,0))</x:f>
        <x:v>0</x:v>
      </x:c>
    </x:row>
    <x:row r="14" ht="20" customHeight="1">
      <x:c r="A14" s="22" t="str">
        <x:v>DEMO-V009-01</x:v>
      </x:c>
      <x:c r="B14" s="22" t="str">
        <x:v>DEMO-M009</x:v>
      </x:c>
      <x:c r="C14" s="22" t="str">
        <x:v>01</x:v>
      </x:c>
      <x:c r="D14" s="22" t="str">
        <x:v>new</x:v>
      </x:c>
      <x:c r="E14" s="28" t="n">
        <x:v>45052</x:v>
      </x:c>
      <x:c r="F14" s="28" t="n">
        <x:v>45052</x:v>
      </x:c>
      <x:c r="G14" s="28" t="n">
        <x:v>45052</x:v>
      </x:c>
      <x:c r="H14" s="22" t="str">
        <x:v>DEMO-PUBLIC</x:v>
      </x:c>
      <x:c r="I14" s="12" t="n">
        <x:f>IF(A14="",0,IF(AND(SUMIFS('10_방법론'!$N$6:$N$105,'10_방법론'!$A$6:$A$105,B14)=1,E14&gt;0,E14&lt;='01_설정'!$B$6,G14&lt;='01_설정'!$B$7),1,0))</x:f>
        <x:v>0</x:v>
      </x:c>
      <x:c r="J14" s="12" t="n">
        <x:f>IF(E14&gt;0,YEAR(E14),0)</x:f>
        <x:v>2023</x:v>
      </x:c>
      <x:c r="K14" s="12" t="n">
        <x:f>IF(A14="",0,IF(COUNTIF('11_버전'!$A$6:$A$205,A14)&gt;1,1,0))</x:f>
        <x:v>0</x:v>
      </x:c>
    </x:row>
    <x:row r="15" ht="20" customHeight="1">
      <x:c r="A15" s="22" t="str">
        <x:v>DEMO-V010-01</x:v>
      </x:c>
      <x:c r="B15" s="22" t="str">
        <x:v>DEMO-M010</x:v>
      </x:c>
      <x:c r="C15" s="22" t="str">
        <x:v>01</x:v>
      </x:c>
      <x:c r="D15" s="22" t="str">
        <x:v>new</x:v>
      </x:c>
      <x:c r="E15" s="28" t="n">
        <x:v>45476</x:v>
      </x:c>
      <x:c r="F15" s="28" t="n">
        <x:v>45476</x:v>
      </x:c>
      <x:c r="G15" s="28" t="n">
        <x:v>45476</x:v>
      </x:c>
      <x:c r="H15" s="22" t="str">
        <x:v>DEMO-PUBLIC</x:v>
      </x:c>
      <x:c r="I15" s="12" t="n">
        <x:f>IF(A15="",0,IF(AND(SUMIFS('10_방법론'!$N$6:$N$105,'10_방법론'!$A$6:$A$105,B15)=1,E15&gt;0,E15&lt;='01_설정'!$B$6,G15&lt;='01_설정'!$B$7),1,0))</x:f>
        <x:v>0</x:v>
      </x:c>
      <x:c r="J15" s="12" t="n">
        <x:f>IF(E15&gt;0,YEAR(E15),0)</x:f>
        <x:v>2024</x:v>
      </x:c>
      <x:c r="K15" s="12" t="n">
        <x:f>IF(A15="",0,IF(COUNTIF('11_버전'!$A$6:$A$205,A15)&gt;1,1,0))</x:f>
        <x:v>0</x:v>
      </x:c>
    </x:row>
    <x:row r="16" ht="20" customHeight="1">
      <x:c r="A16" s="22" t="str">
        <x:v>DEMO-V011-01</x:v>
      </x:c>
      <x:c r="B16" s="22" t="str">
        <x:v>DEMO-M011</x:v>
      </x:c>
      <x:c r="C16" s="22" t="str">
        <x:v>01</x:v>
      </x:c>
      <x:c r="D16" s="22" t="str">
        <x:v>new</x:v>
      </x:c>
      <x:c r="E16" s="28" t="n">
        <x:v>45755</x:v>
      </x:c>
      <x:c r="F16" s="28" t="n">
        <x:v>45755</x:v>
      </x:c>
      <x:c r="G16" s="28" t="n">
        <x:v>45755</x:v>
      </x:c>
      <x:c r="H16" s="22" t="str">
        <x:v>DEMO-PUBLIC</x:v>
      </x:c>
      <x:c r="I16" s="12" t="n">
        <x:f>IF(A16="",0,IF(AND(SUMIFS('10_방법론'!$N$6:$N$105,'10_방법론'!$A$6:$A$105,B16)=1,E16&gt;0,E16&lt;='01_설정'!$B$6,G16&lt;='01_설정'!$B$7),1,0))</x:f>
        <x:v>0</x:v>
      </x:c>
      <x:c r="J16" s="12" t="n">
        <x:f>IF(E16&gt;0,YEAR(E16),0)</x:f>
        <x:v>2025</x:v>
      </x:c>
      <x:c r="K16" s="12" t="n">
        <x:f>IF(A16="",0,IF(COUNTIF('11_버전'!$A$6:$A$205,A16)&gt;1,1,0))</x:f>
        <x:v>0</x:v>
      </x:c>
    </x:row>
    <x:row r="17" ht="20" customHeight="1">
      <x:c r="A17" s="22" t="str">
        <x:v>DEMO-V012-01</x:v>
      </x:c>
      <x:c r="B17" s="22" t="str">
        <x:v>DEMO-M012</x:v>
      </x:c>
      <x:c r="C17" s="22" t="str">
        <x:v>01</x:v>
      </x:c>
      <x:c r="D17" s="22" t="str">
        <x:v>new</x:v>
      </x:c>
      <x:c r="E17" s="28" t="n">
        <x:v>46266</x:v>
      </x:c>
      <x:c r="F17" s="28" t="n">
        <x:v>46266</x:v>
      </x:c>
      <x:c r="G17" s="28" t="n">
        <x:v>46266</x:v>
      </x:c>
      <x:c r="H17" s="22" t="str">
        <x:v>DEMO-PUBLIC</x:v>
      </x:c>
      <x:c r="I17" s="12" t="n">
        <x:f>IF(A17="",0,IF(AND(SUMIFS('10_방법론'!$N$6:$N$105,'10_방법론'!$A$6:$A$105,B17)=1,E17&gt;0,E17&lt;='01_설정'!$B$6,G17&lt;='01_설정'!$B$7),1,0))</x:f>
        <x:v>1</x:v>
      </x:c>
      <x:c r="J17" s="12" t="n">
        <x:f>IF(E17&gt;0,YEAR(E17),0)</x:f>
        <x:v>2026</x:v>
      </x:c>
      <x:c r="K17" s="12" t="n">
        <x:f>IF(A17="",0,IF(COUNTIF('11_버전'!$A$6:$A$205,A17)&gt;1,1,0))</x:f>
        <x:v>0</x:v>
      </x:c>
    </x:row>
    <x:row r="18" ht="20" customHeight="1">
      <x:c r="A18" s="22" t="str">
        <x:v>DEMO-V001-02</x:v>
      </x:c>
      <x:c r="B18" s="22" t="str">
        <x:v>DEMO-M001</x:v>
      </x:c>
      <x:c r="C18" s="22" t="str">
        <x:v>02</x:v>
      </x:c>
      <x:c r="D18" s="22" t="str">
        <x:v>revision</x:v>
      </x:c>
      <x:c r="E18" s="28" t="n">
        <x:v>45809</x:v>
      </x:c>
      <x:c r="F18" s="28" t="n">
        <x:v>45809</x:v>
      </x:c>
      <x:c r="G18" s="28" t="n">
        <x:v>45809</x:v>
      </x:c>
      <x:c r="H18" s="22" t="str">
        <x:v>DEMO-PUBLIC</x:v>
      </x:c>
      <x:c r="I18" s="12" t="n">
        <x:f>IF(A18="",0,IF(AND(SUMIFS('10_방법론'!$N$6:$N$105,'10_방법론'!$A$6:$A$105,B18)=1,E18&gt;0,E18&lt;='01_설정'!$B$6,G18&lt;='01_설정'!$B$7),1,0))</x:f>
        <x:v>1</x:v>
      </x:c>
      <x:c r="J18" s="12" t="n">
        <x:f>IF(E18&gt;0,YEAR(E18),0)</x:f>
        <x:v>2025</x:v>
      </x:c>
      <x:c r="K18" s="12" t="n">
        <x:f>IF(A18="",0,IF(COUNTIF('11_버전'!$A$6:$A$205,A18)&gt;1,1,0))</x:f>
        <x:v>0</x:v>
      </x:c>
    </x:row>
    <x:row r="19" ht="20" customHeight="1">
      <x:c r="A19" s="22" t="str">
        <x:v>DEMO-V002-02</x:v>
      </x:c>
      <x:c r="B19" s="22" t="str">
        <x:v>DEMO-M002</x:v>
      </x:c>
      <x:c r="C19" s="22" t="str">
        <x:v>02</x:v>
      </x:c>
      <x:c r="D19" s="22" t="str">
        <x:v>revision</x:v>
      </x:c>
      <x:c r="E19" s="28" t="n">
        <x:v>46042</x:v>
      </x:c>
      <x:c r="F19" s="28" t="n">
        <x:v>46042</x:v>
      </x:c>
      <x:c r="G19" s="28" t="n">
        <x:v>46042</x:v>
      </x:c>
      <x:c r="H19" s="22" t="str">
        <x:v>DEMO-PUBLIC</x:v>
      </x:c>
      <x:c r="I19" s="12" t="n">
        <x:f>IF(A19="",0,IF(AND(SUMIFS('10_방법론'!$N$6:$N$105,'10_방법론'!$A$6:$A$105,B19)=1,E19&gt;0,E19&lt;='01_설정'!$B$6,G19&lt;='01_설정'!$B$7),1,0))</x:f>
        <x:v>1</x:v>
      </x:c>
      <x:c r="J19" s="12" t="n">
        <x:f>IF(E19&gt;0,YEAR(E19),0)</x:f>
        <x:v>2026</x:v>
      </x:c>
      <x:c r="K19" s="12" t="n">
        <x:f>IF(A19="",0,IF(COUNTIF('11_버전'!$A$6:$A$205,A19)&gt;1,1,0))</x:f>
        <x:v>0</x:v>
      </x:c>
    </x:row>
    <x:row r="20" ht="20" customHeight="1">
      <x:c r="A20" s="22" t="str">
        <x:v>DEMO-V004-02</x:v>
      </x:c>
      <x:c r="B20" s="22" t="str">
        <x:v>DEMO-M004</x:v>
      </x:c>
      <x:c r="C20" s="22" t="str">
        <x:v>02</x:v>
      </x:c>
      <x:c r="D20" s="22" t="str">
        <x:v>revision</x:v>
      </x:c>
      <x:c r="E20" s="28" t="n">
        <x:v>46174</x:v>
      </x:c>
      <x:c r="F20" s="28" t="n">
        <x:v>46174</x:v>
      </x:c>
      <x:c r="G20" s="28" t="n">
        <x:v>46174</x:v>
      </x:c>
      <x:c r="H20" s="22" t="str">
        <x:v>DEMO-PUBLIC</x:v>
      </x:c>
      <x:c r="I20" s="12" t="n">
        <x:f>IF(A20="",0,IF(AND(SUMIFS('10_방법론'!$N$6:$N$105,'10_방법론'!$A$6:$A$105,B20)=1,E20&gt;0,E20&lt;='01_설정'!$B$6,G20&lt;='01_설정'!$B$7),1,0))</x:f>
        <x:v>1</x:v>
      </x:c>
      <x:c r="J20" s="12" t="n">
        <x:f>IF(E20&gt;0,YEAR(E20),0)</x:f>
        <x:v>2026</x:v>
      </x:c>
      <x:c r="K20" s="12" t="n">
        <x:f>IF(A20="",0,IF(COUNTIF('11_버전'!$A$6:$A$205,A20)&gt;1,1,0))</x:f>
        <x:v>0</x:v>
      </x:c>
    </x:row>
    <x:row r="21" ht="20" customHeight="1">
      <x:c r="A21" s="22" t="str">
        <x:v>DEMO-V006-02</x:v>
      </x:c>
      <x:c r="B21" s="22" t="str">
        <x:v>DEMO-M006</x:v>
      </x:c>
      <x:c r="C21" s="22" t="str">
        <x:v>02</x:v>
      </x:c>
      <x:c r="D21" s="22" t="str">
        <x:v>revision</x:v>
      </x:c>
      <x:c r="E21" s="28" t="n">
        <x:v>46275</x:v>
      </x:c>
      <x:c r="F21" s="28" t="n">
        <x:v>46275</x:v>
      </x:c>
      <x:c r="G21" s="28" t="n">
        <x:v>46275</x:v>
      </x:c>
      <x:c r="H21" s="22" t="str">
        <x:v>DEMO-PUBLIC</x:v>
      </x:c>
      <x:c r="I21" s="12" t="n">
        <x:f>IF(A21="",0,IF(AND(SUMIFS('10_방법론'!$N$6:$N$105,'10_방법론'!$A$6:$A$105,B21)=1,E21&gt;0,E21&lt;='01_설정'!$B$6,G21&lt;='01_설정'!$B$7),1,0))</x:f>
        <x:v>1</x:v>
      </x:c>
      <x:c r="J21" s="12" t="n">
        <x:f>IF(E21&gt;0,YEAR(E21),0)</x:f>
        <x:v>2026</x:v>
      </x:c>
      <x:c r="K21" s="12" t="n">
        <x:f>IF(A21="",0,IF(COUNTIF('11_버전'!$A$6:$A$205,A21)&gt;1,1,0))</x:f>
        <x:v>0</x:v>
      </x:c>
    </x:row>
    <x:row r="22" ht="20" customHeight="1">
      <x:c r="A22" s="22"/>
      <x:c r="B22" s="22"/>
      <x:c r="C22" s="22"/>
      <x:c r="D22" s="22"/>
      <x:c r="E22" s="28"/>
      <x:c r="F22" s="28"/>
      <x:c r="G22" s="28"/>
      <x:c r="H22" s="22"/>
      <x:c r="I22" s="12" t="n">
        <x:f>IF(A22="",0,IF(AND(SUMIFS('10_방법론'!$N$6:$N$105,'10_방법론'!$A$6:$A$105,B22)=1,E22&gt;0,E22&lt;='01_설정'!$B$6,G22&lt;='01_설정'!$B$7),1,0))</x:f>
        <x:v>0</x:v>
      </x:c>
      <x:c r="J22" s="12" t="n">
        <x:f>IF(E22&gt;0,YEAR(E22),0)</x:f>
        <x:v>0</x:v>
      </x:c>
      <x:c r="K22" s="12" t="n">
        <x:f>IF(A22="",0,IF(COUNTIF('11_버전'!$A$6:$A$205,A22)&gt;1,1,0))</x:f>
        <x:v>0</x:v>
      </x:c>
    </x:row>
    <x:row r="23" ht="20" customHeight="1">
      <x:c r="A23" s="22"/>
      <x:c r="B23" s="22"/>
      <x:c r="C23" s="22"/>
      <x:c r="D23" s="22"/>
      <x:c r="E23" s="28"/>
      <x:c r="F23" s="28"/>
      <x:c r="G23" s="28"/>
      <x:c r="H23" s="22"/>
      <x:c r="I23" s="12" t="n">
        <x:f>IF(A23="",0,IF(AND(SUMIFS('10_방법론'!$N$6:$N$105,'10_방법론'!$A$6:$A$105,B23)=1,E23&gt;0,E23&lt;='01_설정'!$B$6,G23&lt;='01_설정'!$B$7),1,0))</x:f>
        <x:v>0</x:v>
      </x:c>
      <x:c r="J23" s="12" t="n">
        <x:f>IF(E23&gt;0,YEAR(E23),0)</x:f>
        <x:v>0</x:v>
      </x:c>
      <x:c r="K23" s="12" t="n">
        <x:f>IF(A23="",0,IF(COUNTIF('11_버전'!$A$6:$A$205,A23)&gt;1,1,0))</x:f>
        <x:v>0</x:v>
      </x:c>
    </x:row>
    <x:row r="24" ht="20" customHeight="1">
      <x:c r="A24" s="22"/>
      <x:c r="B24" s="22"/>
      <x:c r="C24" s="22"/>
      <x:c r="D24" s="22"/>
      <x:c r="E24" s="28"/>
      <x:c r="F24" s="28"/>
      <x:c r="G24" s="28"/>
      <x:c r="H24" s="22"/>
      <x:c r="I24" s="12" t="n">
        <x:f>IF(A24="",0,IF(AND(SUMIFS('10_방법론'!$N$6:$N$105,'10_방법론'!$A$6:$A$105,B24)=1,E24&gt;0,E24&lt;='01_설정'!$B$6,G24&lt;='01_설정'!$B$7),1,0))</x:f>
        <x:v>0</x:v>
      </x:c>
      <x:c r="J24" s="12" t="n">
        <x:f>IF(E24&gt;0,YEAR(E24),0)</x:f>
        <x:v>0</x:v>
      </x:c>
      <x:c r="K24" s="12" t="n">
        <x:f>IF(A24="",0,IF(COUNTIF('11_버전'!$A$6:$A$205,A24)&gt;1,1,0))</x:f>
        <x:v>0</x:v>
      </x:c>
    </x:row>
    <x:row r="25" ht="20" customHeight="1">
      <x:c r="A25" s="22"/>
      <x:c r="B25" s="22"/>
      <x:c r="C25" s="22"/>
      <x:c r="D25" s="22"/>
      <x:c r="E25" s="28"/>
      <x:c r="F25" s="28"/>
      <x:c r="G25" s="28"/>
      <x:c r="H25" s="22"/>
      <x:c r="I25" s="12" t="n">
        <x:f>IF(A25="",0,IF(AND(SUMIFS('10_방법론'!$N$6:$N$105,'10_방법론'!$A$6:$A$105,B25)=1,E25&gt;0,E25&lt;='01_설정'!$B$6,G25&lt;='01_설정'!$B$7),1,0))</x:f>
        <x:v>0</x:v>
      </x:c>
      <x:c r="J25" s="12" t="n">
        <x:f>IF(E25&gt;0,YEAR(E25),0)</x:f>
        <x:v>0</x:v>
      </x:c>
      <x:c r="K25" s="12" t="n">
        <x:f>IF(A25="",0,IF(COUNTIF('11_버전'!$A$6:$A$205,A25)&gt;1,1,0))</x:f>
        <x:v>0</x:v>
      </x:c>
    </x:row>
    <x:row r="26" ht="20" customHeight="1">
      <x:c r="A26" s="22"/>
      <x:c r="B26" s="22"/>
      <x:c r="C26" s="22"/>
      <x:c r="D26" s="22"/>
      <x:c r="E26" s="28"/>
      <x:c r="F26" s="28"/>
      <x:c r="G26" s="28"/>
      <x:c r="H26" s="22"/>
      <x:c r="I26" s="12" t="n">
        <x:f>IF(A26="",0,IF(AND(SUMIFS('10_방법론'!$N$6:$N$105,'10_방법론'!$A$6:$A$105,B26)=1,E26&gt;0,E26&lt;='01_설정'!$B$6,G26&lt;='01_설정'!$B$7),1,0))</x:f>
        <x:v>0</x:v>
      </x:c>
      <x:c r="J26" s="12" t="n">
        <x:f>IF(E26&gt;0,YEAR(E26),0)</x:f>
        <x:v>0</x:v>
      </x:c>
      <x:c r="K26" s="12" t="n">
        <x:f>IF(A26="",0,IF(COUNTIF('11_버전'!$A$6:$A$205,A26)&gt;1,1,0))</x:f>
        <x:v>0</x:v>
      </x:c>
    </x:row>
    <x:row r="27" ht="20" customHeight="1">
      <x:c r="A27" s="22"/>
      <x:c r="B27" s="22"/>
      <x:c r="C27" s="22"/>
      <x:c r="D27" s="22"/>
      <x:c r="E27" s="28"/>
      <x:c r="F27" s="28"/>
      <x:c r="G27" s="28"/>
      <x:c r="H27" s="22"/>
      <x:c r="I27" s="12" t="n">
        <x:f>IF(A27="",0,IF(AND(SUMIFS('10_방법론'!$N$6:$N$105,'10_방법론'!$A$6:$A$105,B27)=1,E27&gt;0,E27&lt;='01_설정'!$B$6,G27&lt;='01_설정'!$B$7),1,0))</x:f>
        <x:v>0</x:v>
      </x:c>
      <x:c r="J27" s="12" t="n">
        <x:f>IF(E27&gt;0,YEAR(E27),0)</x:f>
        <x:v>0</x:v>
      </x:c>
      <x:c r="K27" s="12" t="n">
        <x:f>IF(A27="",0,IF(COUNTIF('11_버전'!$A$6:$A$205,A27)&gt;1,1,0))</x:f>
        <x:v>0</x:v>
      </x:c>
    </x:row>
    <x:row r="28" ht="20" customHeight="1">
      <x:c r="A28" s="22"/>
      <x:c r="B28" s="22"/>
      <x:c r="C28" s="22"/>
      <x:c r="D28" s="22"/>
      <x:c r="E28" s="28"/>
      <x:c r="F28" s="28"/>
      <x:c r="G28" s="28"/>
      <x:c r="H28" s="22"/>
      <x:c r="I28" s="12" t="n">
        <x:f>IF(A28="",0,IF(AND(SUMIFS('10_방법론'!$N$6:$N$105,'10_방법론'!$A$6:$A$105,B28)=1,E28&gt;0,E28&lt;='01_설정'!$B$6,G28&lt;='01_설정'!$B$7),1,0))</x:f>
        <x:v>0</x:v>
      </x:c>
      <x:c r="J28" s="12" t="n">
        <x:f>IF(E28&gt;0,YEAR(E28),0)</x:f>
        <x:v>0</x:v>
      </x:c>
      <x:c r="K28" s="12" t="n">
        <x:f>IF(A28="",0,IF(COUNTIF('11_버전'!$A$6:$A$205,A28)&gt;1,1,0))</x:f>
        <x:v>0</x:v>
      </x:c>
    </x:row>
    <x:row r="29" ht="20" customHeight="1">
      <x:c r="A29" s="22"/>
      <x:c r="B29" s="22"/>
      <x:c r="C29" s="22"/>
      <x:c r="D29" s="22"/>
      <x:c r="E29" s="28"/>
      <x:c r="F29" s="28"/>
      <x:c r="G29" s="28"/>
      <x:c r="H29" s="22"/>
      <x:c r="I29" s="12" t="n">
        <x:f>IF(A29="",0,IF(AND(SUMIFS('10_방법론'!$N$6:$N$105,'10_방법론'!$A$6:$A$105,B29)=1,E29&gt;0,E29&lt;='01_설정'!$B$6,G29&lt;='01_설정'!$B$7),1,0))</x:f>
        <x:v>0</x:v>
      </x:c>
      <x:c r="J29" s="12" t="n">
        <x:f>IF(E29&gt;0,YEAR(E29),0)</x:f>
        <x:v>0</x:v>
      </x:c>
      <x:c r="K29" s="12" t="n">
        <x:f>IF(A29="",0,IF(COUNTIF('11_버전'!$A$6:$A$205,A29)&gt;1,1,0))</x:f>
        <x:v>0</x:v>
      </x:c>
    </x:row>
    <x:row r="30" ht="20" customHeight="1">
      <x:c r="A30" s="22"/>
      <x:c r="B30" s="22"/>
      <x:c r="C30" s="22"/>
      <x:c r="D30" s="22"/>
      <x:c r="E30" s="28"/>
      <x:c r="F30" s="28"/>
      <x:c r="G30" s="28"/>
      <x:c r="H30" s="22"/>
      <x:c r="I30" s="12" t="n">
        <x:f>IF(A30="",0,IF(AND(SUMIFS('10_방법론'!$N$6:$N$105,'10_방법론'!$A$6:$A$105,B30)=1,E30&gt;0,E30&lt;='01_설정'!$B$6,G30&lt;='01_설정'!$B$7),1,0))</x:f>
        <x:v>0</x:v>
      </x:c>
      <x:c r="J30" s="12" t="n">
        <x:f>IF(E30&gt;0,YEAR(E30),0)</x:f>
        <x:v>0</x:v>
      </x:c>
      <x:c r="K30" s="12" t="n">
        <x:f>IF(A30="",0,IF(COUNTIF('11_버전'!$A$6:$A$205,A30)&gt;1,1,0))</x:f>
        <x:v>0</x:v>
      </x:c>
    </x:row>
    <x:row r="31" ht="20" customHeight="1">
      <x:c r="A31" s="22"/>
      <x:c r="B31" s="22"/>
      <x:c r="C31" s="22"/>
      <x:c r="D31" s="22"/>
      <x:c r="E31" s="28"/>
      <x:c r="F31" s="28"/>
      <x:c r="G31" s="28"/>
      <x:c r="H31" s="22"/>
      <x:c r="I31" s="12" t="n">
        <x:f>IF(A31="",0,IF(AND(SUMIFS('10_방법론'!$N$6:$N$105,'10_방법론'!$A$6:$A$105,B31)=1,E31&gt;0,E31&lt;='01_설정'!$B$6,G31&lt;='01_설정'!$B$7),1,0))</x:f>
        <x:v>0</x:v>
      </x:c>
      <x:c r="J31" s="12" t="n">
        <x:f>IF(E31&gt;0,YEAR(E31),0)</x:f>
        <x:v>0</x:v>
      </x:c>
      <x:c r="K31" s="12" t="n">
        <x:f>IF(A31="",0,IF(COUNTIF('11_버전'!$A$6:$A$205,A31)&gt;1,1,0))</x:f>
        <x:v>0</x:v>
      </x:c>
    </x:row>
    <x:row r="32" ht="20" customHeight="1">
      <x:c r="A32" s="22"/>
      <x:c r="B32" s="22"/>
      <x:c r="C32" s="22"/>
      <x:c r="D32" s="22"/>
      <x:c r="E32" s="28"/>
      <x:c r="F32" s="28"/>
      <x:c r="G32" s="28"/>
      <x:c r="H32" s="22"/>
      <x:c r="I32" s="12" t="n">
        <x:f>IF(A32="",0,IF(AND(SUMIFS('10_방법론'!$N$6:$N$105,'10_방법론'!$A$6:$A$105,B32)=1,E32&gt;0,E32&lt;='01_설정'!$B$6,G32&lt;='01_설정'!$B$7),1,0))</x:f>
        <x:v>0</x:v>
      </x:c>
      <x:c r="J32" s="12" t="n">
        <x:f>IF(E32&gt;0,YEAR(E32),0)</x:f>
        <x:v>0</x:v>
      </x:c>
      <x:c r="K32" s="12" t="n">
        <x:f>IF(A32="",0,IF(COUNTIF('11_버전'!$A$6:$A$205,A32)&gt;1,1,0))</x:f>
        <x:v>0</x:v>
      </x:c>
    </x:row>
    <x:row r="33" ht="20" customHeight="1">
      <x:c r="A33" s="22"/>
      <x:c r="B33" s="22"/>
      <x:c r="C33" s="22"/>
      <x:c r="D33" s="22"/>
      <x:c r="E33" s="28"/>
      <x:c r="F33" s="28"/>
      <x:c r="G33" s="28"/>
      <x:c r="H33" s="22"/>
      <x:c r="I33" s="12" t="n">
        <x:f>IF(A33="",0,IF(AND(SUMIFS('10_방법론'!$N$6:$N$105,'10_방법론'!$A$6:$A$105,B33)=1,E33&gt;0,E33&lt;='01_설정'!$B$6,G33&lt;='01_설정'!$B$7),1,0))</x:f>
        <x:v>0</x:v>
      </x:c>
      <x:c r="J33" s="12" t="n">
        <x:f>IF(E33&gt;0,YEAR(E33),0)</x:f>
        <x:v>0</x:v>
      </x:c>
      <x:c r="K33" s="12" t="n">
        <x:f>IF(A33="",0,IF(COUNTIF('11_버전'!$A$6:$A$205,A33)&gt;1,1,0))</x:f>
        <x:v>0</x:v>
      </x:c>
    </x:row>
    <x:row r="34" ht="20" customHeight="1">
      <x:c r="A34" s="22"/>
      <x:c r="B34" s="22"/>
      <x:c r="C34" s="22"/>
      <x:c r="D34" s="22"/>
      <x:c r="E34" s="28"/>
      <x:c r="F34" s="28"/>
      <x:c r="G34" s="28"/>
      <x:c r="H34" s="22"/>
      <x:c r="I34" s="12" t="n">
        <x:f>IF(A34="",0,IF(AND(SUMIFS('10_방법론'!$N$6:$N$105,'10_방법론'!$A$6:$A$105,B34)=1,E34&gt;0,E34&lt;='01_설정'!$B$6,G34&lt;='01_설정'!$B$7),1,0))</x:f>
        <x:v>0</x:v>
      </x:c>
      <x:c r="J34" s="12" t="n">
        <x:f>IF(E34&gt;0,YEAR(E34),0)</x:f>
        <x:v>0</x:v>
      </x:c>
      <x:c r="K34" s="12" t="n">
        <x:f>IF(A34="",0,IF(COUNTIF('11_버전'!$A$6:$A$205,A34)&gt;1,1,0))</x:f>
        <x:v>0</x:v>
      </x:c>
    </x:row>
    <x:row r="35" ht="20" customHeight="1">
      <x:c r="A35" s="22"/>
      <x:c r="B35" s="22"/>
      <x:c r="C35" s="22"/>
      <x:c r="D35" s="22"/>
      <x:c r="E35" s="28"/>
      <x:c r="F35" s="28"/>
      <x:c r="G35" s="28"/>
      <x:c r="H35" s="22"/>
      <x:c r="I35" s="12" t="n">
        <x:f>IF(A35="",0,IF(AND(SUMIFS('10_방법론'!$N$6:$N$105,'10_방법론'!$A$6:$A$105,B35)=1,E35&gt;0,E35&lt;='01_설정'!$B$6,G35&lt;='01_설정'!$B$7),1,0))</x:f>
        <x:v>0</x:v>
      </x:c>
      <x:c r="J35" s="12" t="n">
        <x:f>IF(E35&gt;0,YEAR(E35),0)</x:f>
        <x:v>0</x:v>
      </x:c>
      <x:c r="K35" s="12" t="n">
        <x:f>IF(A35="",0,IF(COUNTIF('11_버전'!$A$6:$A$205,A35)&gt;1,1,0))</x:f>
        <x:v>0</x:v>
      </x:c>
    </x:row>
    <x:row r="36" ht="20" customHeight="1">
      <x:c r="A36" s="22"/>
      <x:c r="B36" s="22"/>
      <x:c r="C36" s="22"/>
      <x:c r="D36" s="22"/>
      <x:c r="E36" s="28"/>
      <x:c r="F36" s="28"/>
      <x:c r="G36" s="28"/>
      <x:c r="H36" s="22"/>
      <x:c r="I36" s="12" t="n">
        <x:f>IF(A36="",0,IF(AND(SUMIFS('10_방법론'!$N$6:$N$105,'10_방법론'!$A$6:$A$105,B36)=1,E36&gt;0,E36&lt;='01_설정'!$B$6,G36&lt;='01_설정'!$B$7),1,0))</x:f>
        <x:v>0</x:v>
      </x:c>
      <x:c r="J36" s="12" t="n">
        <x:f>IF(E36&gt;0,YEAR(E36),0)</x:f>
        <x:v>0</x:v>
      </x:c>
      <x:c r="K36" s="12" t="n">
        <x:f>IF(A36="",0,IF(COUNTIF('11_버전'!$A$6:$A$205,A36)&gt;1,1,0))</x:f>
        <x:v>0</x:v>
      </x:c>
    </x:row>
    <x:row r="37" ht="20" customHeight="1">
      <x:c r="A37" s="22"/>
      <x:c r="B37" s="22"/>
      <x:c r="C37" s="22"/>
      <x:c r="D37" s="22"/>
      <x:c r="E37" s="28"/>
      <x:c r="F37" s="28"/>
      <x:c r="G37" s="28"/>
      <x:c r="H37" s="22"/>
      <x:c r="I37" s="12" t="n">
        <x:f>IF(A37="",0,IF(AND(SUMIFS('10_방법론'!$N$6:$N$105,'10_방법론'!$A$6:$A$105,B37)=1,E37&gt;0,E37&lt;='01_설정'!$B$6,G37&lt;='01_설정'!$B$7),1,0))</x:f>
        <x:v>0</x:v>
      </x:c>
      <x:c r="J37" s="12" t="n">
        <x:f>IF(E37&gt;0,YEAR(E37),0)</x:f>
        <x:v>0</x:v>
      </x:c>
      <x:c r="K37" s="12" t="n">
        <x:f>IF(A37="",0,IF(COUNTIF('11_버전'!$A$6:$A$205,A37)&gt;1,1,0))</x:f>
        <x:v>0</x:v>
      </x:c>
    </x:row>
    <x:row r="38" ht="20" customHeight="1">
      <x:c r="A38" s="22"/>
      <x:c r="B38" s="22"/>
      <x:c r="C38" s="22"/>
      <x:c r="D38" s="22"/>
      <x:c r="E38" s="28"/>
      <x:c r="F38" s="28"/>
      <x:c r="G38" s="28"/>
      <x:c r="H38" s="22"/>
      <x:c r="I38" s="12" t="n">
        <x:f>IF(A38="",0,IF(AND(SUMIFS('10_방법론'!$N$6:$N$105,'10_방법론'!$A$6:$A$105,B38)=1,E38&gt;0,E38&lt;='01_설정'!$B$6,G38&lt;='01_설정'!$B$7),1,0))</x:f>
        <x:v>0</x:v>
      </x:c>
      <x:c r="J38" s="12" t="n">
        <x:f>IF(E38&gt;0,YEAR(E38),0)</x:f>
        <x:v>0</x:v>
      </x:c>
      <x:c r="K38" s="12" t="n">
        <x:f>IF(A38="",0,IF(COUNTIF('11_버전'!$A$6:$A$205,A38)&gt;1,1,0))</x:f>
        <x:v>0</x:v>
      </x:c>
    </x:row>
    <x:row r="39" ht="20" customHeight="1">
      <x:c r="A39" s="22"/>
      <x:c r="B39" s="22"/>
      <x:c r="C39" s="22"/>
      <x:c r="D39" s="22"/>
      <x:c r="E39" s="28"/>
      <x:c r="F39" s="28"/>
      <x:c r="G39" s="28"/>
      <x:c r="H39" s="22"/>
      <x:c r="I39" s="12" t="n">
        <x:f>IF(A39="",0,IF(AND(SUMIFS('10_방법론'!$N$6:$N$105,'10_방법론'!$A$6:$A$105,B39)=1,E39&gt;0,E39&lt;='01_설정'!$B$6,G39&lt;='01_설정'!$B$7),1,0))</x:f>
        <x:v>0</x:v>
      </x:c>
      <x:c r="J39" s="12" t="n">
        <x:f>IF(E39&gt;0,YEAR(E39),0)</x:f>
        <x:v>0</x:v>
      </x:c>
      <x:c r="K39" s="12" t="n">
        <x:f>IF(A39="",0,IF(COUNTIF('11_버전'!$A$6:$A$205,A39)&gt;1,1,0))</x:f>
        <x:v>0</x:v>
      </x:c>
    </x:row>
    <x:row r="40" ht="20" customHeight="1">
      <x:c r="A40" s="22"/>
      <x:c r="B40" s="22"/>
      <x:c r="C40" s="22"/>
      <x:c r="D40" s="22"/>
      <x:c r="E40" s="28"/>
      <x:c r="F40" s="28"/>
      <x:c r="G40" s="28"/>
      <x:c r="H40" s="22"/>
      <x:c r="I40" s="12" t="n">
        <x:f>IF(A40="",0,IF(AND(SUMIFS('10_방법론'!$N$6:$N$105,'10_방법론'!$A$6:$A$105,B40)=1,E40&gt;0,E40&lt;='01_설정'!$B$6,G40&lt;='01_설정'!$B$7),1,0))</x:f>
        <x:v>0</x:v>
      </x:c>
      <x:c r="J40" s="12" t="n">
        <x:f>IF(E40&gt;0,YEAR(E40),0)</x:f>
        <x:v>0</x:v>
      </x:c>
      <x:c r="K40" s="12" t="n">
        <x:f>IF(A40="",0,IF(COUNTIF('11_버전'!$A$6:$A$205,A40)&gt;1,1,0))</x:f>
        <x:v>0</x:v>
      </x:c>
    </x:row>
    <x:row r="41" ht="20" customHeight="1">
      <x:c r="A41" s="22"/>
      <x:c r="B41" s="22"/>
      <x:c r="C41" s="22"/>
      <x:c r="D41" s="22"/>
      <x:c r="E41" s="28"/>
      <x:c r="F41" s="28"/>
      <x:c r="G41" s="28"/>
      <x:c r="H41" s="22"/>
      <x:c r="I41" s="12" t="n">
        <x:f>IF(A41="",0,IF(AND(SUMIFS('10_방법론'!$N$6:$N$105,'10_방법론'!$A$6:$A$105,B41)=1,E41&gt;0,E41&lt;='01_설정'!$B$6,G41&lt;='01_설정'!$B$7),1,0))</x:f>
        <x:v>0</x:v>
      </x:c>
      <x:c r="J41" s="12" t="n">
        <x:f>IF(E41&gt;0,YEAR(E41),0)</x:f>
        <x:v>0</x:v>
      </x:c>
      <x:c r="K41" s="12" t="n">
        <x:f>IF(A41="",0,IF(COUNTIF('11_버전'!$A$6:$A$205,A41)&gt;1,1,0))</x:f>
        <x:v>0</x:v>
      </x:c>
    </x:row>
    <x:row r="42" ht="20" customHeight="1">
      <x:c r="A42" s="22"/>
      <x:c r="B42" s="22"/>
      <x:c r="C42" s="22"/>
      <x:c r="D42" s="22"/>
      <x:c r="E42" s="28"/>
      <x:c r="F42" s="28"/>
      <x:c r="G42" s="28"/>
      <x:c r="H42" s="22"/>
      <x:c r="I42" s="12" t="n">
        <x:f>IF(A42="",0,IF(AND(SUMIFS('10_방법론'!$N$6:$N$105,'10_방법론'!$A$6:$A$105,B42)=1,E42&gt;0,E42&lt;='01_설정'!$B$6,G42&lt;='01_설정'!$B$7),1,0))</x:f>
        <x:v>0</x:v>
      </x:c>
      <x:c r="J42" s="12" t="n">
        <x:f>IF(E42&gt;0,YEAR(E42),0)</x:f>
        <x:v>0</x:v>
      </x:c>
      <x:c r="K42" s="12" t="n">
        <x:f>IF(A42="",0,IF(COUNTIF('11_버전'!$A$6:$A$205,A42)&gt;1,1,0))</x:f>
        <x:v>0</x:v>
      </x:c>
    </x:row>
    <x:row r="43" ht="20" customHeight="1">
      <x:c r="A43" s="22"/>
      <x:c r="B43" s="22"/>
      <x:c r="C43" s="22"/>
      <x:c r="D43" s="22"/>
      <x:c r="E43" s="28"/>
      <x:c r="F43" s="28"/>
      <x:c r="G43" s="28"/>
      <x:c r="H43" s="22"/>
      <x:c r="I43" s="12" t="n">
        <x:f>IF(A43="",0,IF(AND(SUMIFS('10_방법론'!$N$6:$N$105,'10_방법론'!$A$6:$A$105,B43)=1,E43&gt;0,E43&lt;='01_설정'!$B$6,G43&lt;='01_설정'!$B$7),1,0))</x:f>
        <x:v>0</x:v>
      </x:c>
      <x:c r="J43" s="12" t="n">
        <x:f>IF(E43&gt;0,YEAR(E43),0)</x:f>
        <x:v>0</x:v>
      </x:c>
      <x:c r="K43" s="12" t="n">
        <x:f>IF(A43="",0,IF(COUNTIF('11_버전'!$A$6:$A$205,A43)&gt;1,1,0))</x:f>
        <x:v>0</x:v>
      </x:c>
    </x:row>
    <x:row r="44" ht="20" customHeight="1">
      <x:c r="A44" s="22"/>
      <x:c r="B44" s="22"/>
      <x:c r="C44" s="22"/>
      <x:c r="D44" s="22"/>
      <x:c r="E44" s="28"/>
      <x:c r="F44" s="28"/>
      <x:c r="G44" s="28"/>
      <x:c r="H44" s="22"/>
      <x:c r="I44" s="12" t="n">
        <x:f>IF(A44="",0,IF(AND(SUMIFS('10_방법론'!$N$6:$N$105,'10_방법론'!$A$6:$A$105,B44)=1,E44&gt;0,E44&lt;='01_설정'!$B$6,G44&lt;='01_설정'!$B$7),1,0))</x:f>
        <x:v>0</x:v>
      </x:c>
      <x:c r="J44" s="12" t="n">
        <x:f>IF(E44&gt;0,YEAR(E44),0)</x:f>
        <x:v>0</x:v>
      </x:c>
      <x:c r="K44" s="12" t="n">
        <x:f>IF(A44="",0,IF(COUNTIF('11_버전'!$A$6:$A$205,A44)&gt;1,1,0))</x:f>
        <x:v>0</x:v>
      </x:c>
    </x:row>
    <x:row r="45" ht="20" customHeight="1">
      <x:c r="A45" s="22"/>
      <x:c r="B45" s="22"/>
      <x:c r="C45" s="22"/>
      <x:c r="D45" s="22"/>
      <x:c r="E45" s="28"/>
      <x:c r="F45" s="28"/>
      <x:c r="G45" s="28"/>
      <x:c r="H45" s="22"/>
      <x:c r="I45" s="12" t="n">
        <x:f>IF(A45="",0,IF(AND(SUMIFS('10_방법론'!$N$6:$N$105,'10_방법론'!$A$6:$A$105,B45)=1,E45&gt;0,E45&lt;='01_설정'!$B$6,G45&lt;='01_설정'!$B$7),1,0))</x:f>
        <x:v>0</x:v>
      </x:c>
      <x:c r="J45" s="12" t="n">
        <x:f>IF(E45&gt;0,YEAR(E45),0)</x:f>
        <x:v>0</x:v>
      </x:c>
      <x:c r="K45" s="12" t="n">
        <x:f>IF(A45="",0,IF(COUNTIF('11_버전'!$A$6:$A$205,A45)&gt;1,1,0))</x:f>
        <x:v>0</x:v>
      </x:c>
    </x:row>
    <x:row r="46" ht="20" customHeight="1">
      <x:c r="A46" s="22"/>
      <x:c r="B46" s="22"/>
      <x:c r="C46" s="22"/>
      <x:c r="D46" s="22"/>
      <x:c r="E46" s="28"/>
      <x:c r="F46" s="28"/>
      <x:c r="G46" s="28"/>
      <x:c r="H46" s="22"/>
      <x:c r="I46" s="12" t="n">
        <x:f>IF(A46="",0,IF(AND(SUMIFS('10_방법론'!$N$6:$N$105,'10_방법론'!$A$6:$A$105,B46)=1,E46&gt;0,E46&lt;='01_설정'!$B$6,G46&lt;='01_설정'!$B$7),1,0))</x:f>
        <x:v>0</x:v>
      </x:c>
      <x:c r="J46" s="12" t="n">
        <x:f>IF(E46&gt;0,YEAR(E46),0)</x:f>
        <x:v>0</x:v>
      </x:c>
      <x:c r="K46" s="12" t="n">
        <x:f>IF(A46="",0,IF(COUNTIF('11_버전'!$A$6:$A$205,A46)&gt;1,1,0))</x:f>
        <x:v>0</x:v>
      </x:c>
    </x:row>
    <x:row r="47" ht="20" customHeight="1">
      <x:c r="A47" s="22"/>
      <x:c r="B47" s="22"/>
      <x:c r="C47" s="22"/>
      <x:c r="D47" s="22"/>
      <x:c r="E47" s="28"/>
      <x:c r="F47" s="28"/>
      <x:c r="G47" s="28"/>
      <x:c r="H47" s="22"/>
      <x:c r="I47" s="12" t="n">
        <x:f>IF(A47="",0,IF(AND(SUMIFS('10_방법론'!$N$6:$N$105,'10_방법론'!$A$6:$A$105,B47)=1,E47&gt;0,E47&lt;='01_설정'!$B$6,G47&lt;='01_설정'!$B$7),1,0))</x:f>
        <x:v>0</x:v>
      </x:c>
      <x:c r="J47" s="12" t="n">
        <x:f>IF(E47&gt;0,YEAR(E47),0)</x:f>
        <x:v>0</x:v>
      </x:c>
      <x:c r="K47" s="12" t="n">
        <x:f>IF(A47="",0,IF(COUNTIF('11_버전'!$A$6:$A$205,A47)&gt;1,1,0))</x:f>
        <x:v>0</x:v>
      </x:c>
    </x:row>
    <x:row r="48" ht="20" customHeight="1">
      <x:c r="A48" s="22"/>
      <x:c r="B48" s="22"/>
      <x:c r="C48" s="22"/>
      <x:c r="D48" s="22"/>
      <x:c r="E48" s="28"/>
      <x:c r="F48" s="28"/>
      <x:c r="G48" s="28"/>
      <x:c r="H48" s="22"/>
      <x:c r="I48" s="12" t="n">
        <x:f>IF(A48="",0,IF(AND(SUMIFS('10_방법론'!$N$6:$N$105,'10_방법론'!$A$6:$A$105,B48)=1,E48&gt;0,E48&lt;='01_설정'!$B$6,G48&lt;='01_설정'!$B$7),1,0))</x:f>
        <x:v>0</x:v>
      </x:c>
      <x:c r="J48" s="12" t="n">
        <x:f>IF(E48&gt;0,YEAR(E48),0)</x:f>
        <x:v>0</x:v>
      </x:c>
      <x:c r="K48" s="12" t="n">
        <x:f>IF(A48="",0,IF(COUNTIF('11_버전'!$A$6:$A$205,A48)&gt;1,1,0))</x:f>
        <x:v>0</x:v>
      </x:c>
    </x:row>
    <x:row r="49" ht="20" customHeight="1">
      <x:c r="A49" s="22"/>
      <x:c r="B49" s="22"/>
      <x:c r="C49" s="22"/>
      <x:c r="D49" s="22"/>
      <x:c r="E49" s="28"/>
      <x:c r="F49" s="28"/>
      <x:c r="G49" s="28"/>
      <x:c r="H49" s="22"/>
      <x:c r="I49" s="12" t="n">
        <x:f>IF(A49="",0,IF(AND(SUMIFS('10_방법론'!$N$6:$N$105,'10_방법론'!$A$6:$A$105,B49)=1,E49&gt;0,E49&lt;='01_설정'!$B$6,G49&lt;='01_설정'!$B$7),1,0))</x:f>
        <x:v>0</x:v>
      </x:c>
      <x:c r="J49" s="12" t="n">
        <x:f>IF(E49&gt;0,YEAR(E49),0)</x:f>
        <x:v>0</x:v>
      </x:c>
      <x:c r="K49" s="12" t="n">
        <x:f>IF(A49="",0,IF(COUNTIF('11_버전'!$A$6:$A$205,A49)&gt;1,1,0))</x:f>
        <x:v>0</x:v>
      </x:c>
    </x:row>
    <x:row r="50" ht="20" customHeight="1">
      <x:c r="A50" s="22"/>
      <x:c r="B50" s="22"/>
      <x:c r="C50" s="22"/>
      <x:c r="D50" s="22"/>
      <x:c r="E50" s="28"/>
      <x:c r="F50" s="28"/>
      <x:c r="G50" s="28"/>
      <x:c r="H50" s="22"/>
      <x:c r="I50" s="12" t="n">
        <x:f>IF(A50="",0,IF(AND(SUMIFS('10_방법론'!$N$6:$N$105,'10_방법론'!$A$6:$A$105,B50)=1,E50&gt;0,E50&lt;='01_설정'!$B$6,G50&lt;='01_설정'!$B$7),1,0))</x:f>
        <x:v>0</x:v>
      </x:c>
      <x:c r="J50" s="12" t="n">
        <x:f>IF(E50&gt;0,YEAR(E50),0)</x:f>
        <x:v>0</x:v>
      </x:c>
      <x:c r="K50" s="12" t="n">
        <x:f>IF(A50="",0,IF(COUNTIF('11_버전'!$A$6:$A$205,A50)&gt;1,1,0))</x:f>
        <x:v>0</x:v>
      </x:c>
    </x:row>
    <x:row r="51" ht="20" customHeight="1">
      <x:c r="A51" s="22"/>
      <x:c r="B51" s="22"/>
      <x:c r="C51" s="22"/>
      <x:c r="D51" s="22"/>
      <x:c r="E51" s="28"/>
      <x:c r="F51" s="28"/>
      <x:c r="G51" s="28"/>
      <x:c r="H51" s="22"/>
      <x:c r="I51" s="36" t="n">
        <x:f>IF(A51="",0,IF(AND(SUMIFS('10_방법론'!$N$6:$N$105,'10_방법론'!$A$6:$A$105,B51)=1,E51&gt;0,E51&lt;='01_설정'!$B$6,G51&lt;='01_설정'!$B$7),1,0))</x:f>
        <x:v>0</x:v>
      </x:c>
      <x:c r="J51" s="36" t="n">
        <x:f>IF(E51&gt;0,YEAR(E51),0)</x:f>
        <x:v>0</x:v>
      </x:c>
      <x:c r="K51" s="36" t="n">
        <x:f>IF(A51="",0,IF(COUNTIF('11_버전'!$A$6:$A$205,A51)&gt;1,1,0))</x:f>
        <x:v>0</x:v>
      </x:c>
    </x:row>
    <x:row r="52" ht="20" customHeight="1">
      <x:c r="A52" s="22"/>
      <x:c r="B52" s="22"/>
      <x:c r="C52" s="22"/>
      <x:c r="D52" s="22"/>
      <x:c r="E52" s="28"/>
      <x:c r="F52" s="28"/>
      <x:c r="G52" s="28"/>
      <x:c r="H52" s="22"/>
      <x:c r="I52" s="36" t="n">
        <x:f>IF(A52="",0,IF(AND(SUMIFS('10_방법론'!$N$6:$N$105,'10_방법론'!$A$6:$A$105,B52)=1,E52&gt;0,E52&lt;='01_설정'!$B$6,G52&lt;='01_설정'!$B$7),1,0))</x:f>
        <x:v>0</x:v>
      </x:c>
      <x:c r="J52" s="36" t="n">
        <x:f>IF(E52&gt;0,YEAR(E52),0)</x:f>
        <x:v>0</x:v>
      </x:c>
      <x:c r="K52" s="36" t="n">
        <x:f>IF(A52="",0,IF(COUNTIF('11_버전'!$A$6:$A$205,A52)&gt;1,1,0))</x:f>
        <x:v>0</x:v>
      </x:c>
    </x:row>
    <x:row r="53" ht="20" customHeight="1">
      <x:c r="A53" s="22"/>
      <x:c r="B53" s="22"/>
      <x:c r="C53" s="22"/>
      <x:c r="D53" s="22"/>
      <x:c r="E53" s="28"/>
      <x:c r="F53" s="28"/>
      <x:c r="G53" s="28"/>
      <x:c r="H53" s="22"/>
      <x:c r="I53" s="36" t="n">
        <x:f>IF(A53="",0,IF(AND(SUMIFS('10_방법론'!$N$6:$N$105,'10_방법론'!$A$6:$A$105,B53)=1,E53&gt;0,E53&lt;='01_설정'!$B$6,G53&lt;='01_설정'!$B$7),1,0))</x:f>
        <x:v>0</x:v>
      </x:c>
      <x:c r="J53" s="36" t="n">
        <x:f>IF(E53&gt;0,YEAR(E53),0)</x:f>
        <x:v>0</x:v>
      </x:c>
      <x:c r="K53" s="36" t="n">
        <x:f>IF(A53="",0,IF(COUNTIF('11_버전'!$A$6:$A$205,A53)&gt;1,1,0))</x:f>
        <x:v>0</x:v>
      </x:c>
    </x:row>
    <x:row r="54" ht="20" customHeight="1">
      <x:c r="A54" s="22"/>
      <x:c r="B54" s="22"/>
      <x:c r="C54" s="22"/>
      <x:c r="D54" s="22"/>
      <x:c r="E54" s="28"/>
      <x:c r="F54" s="28"/>
      <x:c r="G54" s="28"/>
      <x:c r="H54" s="22"/>
      <x:c r="I54" s="36" t="n">
        <x:f>IF(A54="",0,IF(AND(SUMIFS('10_방법론'!$N$6:$N$105,'10_방법론'!$A$6:$A$105,B54)=1,E54&gt;0,E54&lt;='01_설정'!$B$6,G54&lt;='01_설정'!$B$7),1,0))</x:f>
        <x:v>0</x:v>
      </x:c>
      <x:c r="J54" s="36" t="n">
        <x:f>IF(E54&gt;0,YEAR(E54),0)</x:f>
        <x:v>0</x:v>
      </x:c>
      <x:c r="K54" s="36" t="n">
        <x:f>IF(A54="",0,IF(COUNTIF('11_버전'!$A$6:$A$205,A54)&gt;1,1,0))</x:f>
        <x:v>0</x:v>
      </x:c>
    </x:row>
    <x:row r="55" ht="20" customHeight="1">
      <x:c r="A55" s="22"/>
      <x:c r="B55" s="22"/>
      <x:c r="C55" s="22"/>
      <x:c r="D55" s="22"/>
      <x:c r="E55" s="28"/>
      <x:c r="F55" s="28"/>
      <x:c r="G55" s="28"/>
      <x:c r="H55" s="22"/>
      <x:c r="I55" s="36" t="n">
        <x:f>IF(A55="",0,IF(AND(SUMIFS('10_방법론'!$N$6:$N$105,'10_방법론'!$A$6:$A$105,B55)=1,E55&gt;0,E55&lt;='01_설정'!$B$6,G55&lt;='01_설정'!$B$7),1,0))</x:f>
        <x:v>0</x:v>
      </x:c>
      <x:c r="J55" s="36" t="n">
        <x:f>IF(E55&gt;0,YEAR(E55),0)</x:f>
        <x:v>0</x:v>
      </x:c>
      <x:c r="K55" s="36" t="n">
        <x:f>IF(A55="",0,IF(COUNTIF('11_버전'!$A$6:$A$205,A55)&gt;1,1,0))</x:f>
        <x:v>0</x:v>
      </x:c>
    </x:row>
    <x:row r="56" ht="20" customHeight="1">
      <x:c r="A56" s="22"/>
      <x:c r="B56" s="22"/>
      <x:c r="C56" s="22"/>
      <x:c r="D56" s="22"/>
      <x:c r="E56" s="28"/>
      <x:c r="F56" s="28"/>
      <x:c r="G56" s="28"/>
      <x:c r="H56" s="22"/>
      <x:c r="I56" s="36" t="n">
        <x:f>IF(A56="",0,IF(AND(SUMIFS('10_방법론'!$N$6:$N$105,'10_방법론'!$A$6:$A$105,B56)=1,E56&gt;0,E56&lt;='01_설정'!$B$6,G56&lt;='01_설정'!$B$7),1,0))</x:f>
        <x:v>0</x:v>
      </x:c>
      <x:c r="J56" s="36" t="n">
        <x:f>IF(E56&gt;0,YEAR(E56),0)</x:f>
        <x:v>0</x:v>
      </x:c>
      <x:c r="K56" s="36" t="n">
        <x:f>IF(A56="",0,IF(COUNTIF('11_버전'!$A$6:$A$205,A56)&gt;1,1,0))</x:f>
        <x:v>0</x:v>
      </x:c>
    </x:row>
    <x:row r="57" ht="20" customHeight="1">
      <x:c r="A57" s="22"/>
      <x:c r="B57" s="22"/>
      <x:c r="C57" s="22"/>
      <x:c r="D57" s="22"/>
      <x:c r="E57" s="28"/>
      <x:c r="F57" s="28"/>
      <x:c r="G57" s="28"/>
      <x:c r="H57" s="22"/>
      <x:c r="I57" s="36" t="n">
        <x:f>IF(A57="",0,IF(AND(SUMIFS('10_방법론'!$N$6:$N$105,'10_방법론'!$A$6:$A$105,B57)=1,E57&gt;0,E57&lt;='01_설정'!$B$6,G57&lt;='01_설정'!$B$7),1,0))</x:f>
        <x:v>0</x:v>
      </x:c>
      <x:c r="J57" s="36" t="n">
        <x:f>IF(E57&gt;0,YEAR(E57),0)</x:f>
        <x:v>0</x:v>
      </x:c>
      <x:c r="K57" s="36" t="n">
        <x:f>IF(A57="",0,IF(COUNTIF('11_버전'!$A$6:$A$205,A57)&gt;1,1,0))</x:f>
        <x:v>0</x:v>
      </x:c>
    </x:row>
    <x:row r="58" ht="20" customHeight="1">
      <x:c r="A58" s="22"/>
      <x:c r="B58" s="22"/>
      <x:c r="C58" s="22"/>
      <x:c r="D58" s="22"/>
      <x:c r="E58" s="28"/>
      <x:c r="F58" s="28"/>
      <x:c r="G58" s="28"/>
      <x:c r="H58" s="22"/>
      <x:c r="I58" s="36" t="n">
        <x:f>IF(A58="",0,IF(AND(SUMIFS('10_방법론'!$N$6:$N$105,'10_방법론'!$A$6:$A$105,B58)=1,E58&gt;0,E58&lt;='01_설정'!$B$6,G58&lt;='01_설정'!$B$7),1,0))</x:f>
        <x:v>0</x:v>
      </x:c>
      <x:c r="J58" s="36" t="n">
        <x:f>IF(E58&gt;0,YEAR(E58),0)</x:f>
        <x:v>0</x:v>
      </x:c>
      <x:c r="K58" s="36" t="n">
        <x:f>IF(A58="",0,IF(COUNTIF('11_버전'!$A$6:$A$205,A58)&gt;1,1,0))</x:f>
        <x:v>0</x:v>
      </x:c>
    </x:row>
    <x:row r="59" ht="20" customHeight="1">
      <x:c r="A59" s="22"/>
      <x:c r="B59" s="22"/>
      <x:c r="C59" s="22"/>
      <x:c r="D59" s="22"/>
      <x:c r="E59" s="28"/>
      <x:c r="F59" s="28"/>
      <x:c r="G59" s="28"/>
      <x:c r="H59" s="22"/>
      <x:c r="I59" s="36" t="n">
        <x:f>IF(A59="",0,IF(AND(SUMIFS('10_방법론'!$N$6:$N$105,'10_방법론'!$A$6:$A$105,B59)=1,E59&gt;0,E59&lt;='01_설정'!$B$6,G59&lt;='01_설정'!$B$7),1,0))</x:f>
        <x:v>0</x:v>
      </x:c>
      <x:c r="J59" s="36" t="n">
        <x:f>IF(E59&gt;0,YEAR(E59),0)</x:f>
        <x:v>0</x:v>
      </x:c>
      <x:c r="K59" s="36" t="n">
        <x:f>IF(A59="",0,IF(COUNTIF('11_버전'!$A$6:$A$205,A59)&gt;1,1,0))</x:f>
        <x:v>0</x:v>
      </x:c>
    </x:row>
    <x:row r="60" ht="20" customHeight="1">
      <x:c r="A60" s="22"/>
      <x:c r="B60" s="22"/>
      <x:c r="C60" s="22"/>
      <x:c r="D60" s="22"/>
      <x:c r="E60" s="28"/>
      <x:c r="F60" s="28"/>
      <x:c r="G60" s="28"/>
      <x:c r="H60" s="22"/>
      <x:c r="I60" s="36" t="n">
        <x:f>IF(A60="",0,IF(AND(SUMIFS('10_방법론'!$N$6:$N$105,'10_방법론'!$A$6:$A$105,B60)=1,E60&gt;0,E60&lt;='01_설정'!$B$6,G60&lt;='01_설정'!$B$7),1,0))</x:f>
        <x:v>0</x:v>
      </x:c>
      <x:c r="J60" s="36" t="n">
        <x:f>IF(E60&gt;0,YEAR(E60),0)</x:f>
        <x:v>0</x:v>
      </x:c>
      <x:c r="K60" s="36" t="n">
        <x:f>IF(A60="",0,IF(COUNTIF('11_버전'!$A$6:$A$205,A60)&gt;1,1,0))</x:f>
        <x:v>0</x:v>
      </x:c>
    </x:row>
    <x:row r="61" ht="20" customHeight="1">
      <x:c r="A61" s="22"/>
      <x:c r="B61" s="22"/>
      <x:c r="C61" s="22"/>
      <x:c r="D61" s="22"/>
      <x:c r="E61" s="28"/>
      <x:c r="F61" s="28"/>
      <x:c r="G61" s="28"/>
      <x:c r="H61" s="22"/>
      <x:c r="I61" s="36" t="n">
        <x:f>IF(A61="",0,IF(AND(SUMIFS('10_방법론'!$N$6:$N$105,'10_방법론'!$A$6:$A$105,B61)=1,E61&gt;0,E61&lt;='01_설정'!$B$6,G61&lt;='01_설정'!$B$7),1,0))</x:f>
        <x:v>0</x:v>
      </x:c>
      <x:c r="J61" s="36" t="n">
        <x:f>IF(E61&gt;0,YEAR(E61),0)</x:f>
        <x:v>0</x:v>
      </x:c>
      <x:c r="K61" s="36" t="n">
        <x:f>IF(A61="",0,IF(COUNTIF('11_버전'!$A$6:$A$205,A61)&gt;1,1,0))</x:f>
        <x:v>0</x:v>
      </x:c>
    </x:row>
    <x:row r="62" ht="20" customHeight="1">
      <x:c r="A62" s="22"/>
      <x:c r="B62" s="22"/>
      <x:c r="C62" s="22"/>
      <x:c r="D62" s="22"/>
      <x:c r="E62" s="28"/>
      <x:c r="F62" s="28"/>
      <x:c r="G62" s="28"/>
      <x:c r="H62" s="22"/>
      <x:c r="I62" s="36" t="n">
        <x:f>IF(A62="",0,IF(AND(SUMIFS('10_방법론'!$N$6:$N$105,'10_방법론'!$A$6:$A$105,B62)=1,E62&gt;0,E62&lt;='01_설정'!$B$6,G62&lt;='01_설정'!$B$7),1,0))</x:f>
        <x:v>0</x:v>
      </x:c>
      <x:c r="J62" s="36" t="n">
        <x:f>IF(E62&gt;0,YEAR(E62),0)</x:f>
        <x:v>0</x:v>
      </x:c>
      <x:c r="K62" s="36" t="n">
        <x:f>IF(A62="",0,IF(COUNTIF('11_버전'!$A$6:$A$205,A62)&gt;1,1,0))</x:f>
        <x:v>0</x:v>
      </x:c>
    </x:row>
    <x:row r="63" ht="20" customHeight="1">
      <x:c r="A63" s="22"/>
      <x:c r="B63" s="22"/>
      <x:c r="C63" s="22"/>
      <x:c r="D63" s="22"/>
      <x:c r="E63" s="28"/>
      <x:c r="F63" s="28"/>
      <x:c r="G63" s="28"/>
      <x:c r="H63" s="22"/>
      <x:c r="I63" s="36" t="n">
        <x:f>IF(A63="",0,IF(AND(SUMIFS('10_방법론'!$N$6:$N$105,'10_방법론'!$A$6:$A$105,B63)=1,E63&gt;0,E63&lt;='01_설정'!$B$6,G63&lt;='01_설정'!$B$7),1,0))</x:f>
        <x:v>0</x:v>
      </x:c>
      <x:c r="J63" s="36" t="n">
        <x:f>IF(E63&gt;0,YEAR(E63),0)</x:f>
        <x:v>0</x:v>
      </x:c>
      <x:c r="K63" s="36" t="n">
        <x:f>IF(A63="",0,IF(COUNTIF('11_버전'!$A$6:$A$205,A63)&gt;1,1,0))</x:f>
        <x:v>0</x:v>
      </x:c>
    </x:row>
    <x:row r="64" ht="20" customHeight="1">
      <x:c r="A64" s="22"/>
      <x:c r="B64" s="22"/>
      <x:c r="C64" s="22"/>
      <x:c r="D64" s="22"/>
      <x:c r="E64" s="28"/>
      <x:c r="F64" s="28"/>
      <x:c r="G64" s="28"/>
      <x:c r="H64" s="22"/>
      <x:c r="I64" s="36" t="n">
        <x:f>IF(A64="",0,IF(AND(SUMIFS('10_방법론'!$N$6:$N$105,'10_방법론'!$A$6:$A$105,B64)=1,E64&gt;0,E64&lt;='01_설정'!$B$6,G64&lt;='01_설정'!$B$7),1,0))</x:f>
        <x:v>0</x:v>
      </x:c>
      <x:c r="J64" s="36" t="n">
        <x:f>IF(E64&gt;0,YEAR(E64),0)</x:f>
        <x:v>0</x:v>
      </x:c>
      <x:c r="K64" s="36" t="n">
        <x:f>IF(A64="",0,IF(COUNTIF('11_버전'!$A$6:$A$205,A64)&gt;1,1,0))</x:f>
        <x:v>0</x:v>
      </x:c>
    </x:row>
    <x:row r="65" ht="20" customHeight="1">
      <x:c r="A65" s="22"/>
      <x:c r="B65" s="22"/>
      <x:c r="C65" s="22"/>
      <x:c r="D65" s="22"/>
      <x:c r="E65" s="28"/>
      <x:c r="F65" s="28"/>
      <x:c r="G65" s="28"/>
      <x:c r="H65" s="22"/>
      <x:c r="I65" s="36" t="n">
        <x:f>IF(A65="",0,IF(AND(SUMIFS('10_방법론'!$N$6:$N$105,'10_방법론'!$A$6:$A$105,B65)=1,E65&gt;0,E65&lt;='01_설정'!$B$6,G65&lt;='01_설정'!$B$7),1,0))</x:f>
        <x:v>0</x:v>
      </x:c>
      <x:c r="J65" s="36" t="n">
        <x:f>IF(E65&gt;0,YEAR(E65),0)</x:f>
        <x:v>0</x:v>
      </x:c>
      <x:c r="K65" s="36" t="n">
        <x:f>IF(A65="",0,IF(COUNTIF('11_버전'!$A$6:$A$205,A65)&gt;1,1,0))</x:f>
        <x:v>0</x:v>
      </x:c>
    </x:row>
    <x:row r="66" ht="20" customHeight="1">
      <x:c r="A66" s="22"/>
      <x:c r="B66" s="22"/>
      <x:c r="C66" s="22"/>
      <x:c r="D66" s="22"/>
      <x:c r="E66" s="28"/>
      <x:c r="F66" s="28"/>
      <x:c r="G66" s="28"/>
      <x:c r="H66" s="22"/>
      <x:c r="I66" s="36" t="n">
        <x:f>IF(A66="",0,IF(AND(SUMIFS('10_방법론'!$N$6:$N$105,'10_방법론'!$A$6:$A$105,B66)=1,E66&gt;0,E66&lt;='01_설정'!$B$6,G66&lt;='01_설정'!$B$7),1,0))</x:f>
        <x:v>0</x:v>
      </x:c>
      <x:c r="J66" s="36" t="n">
        <x:f>IF(E66&gt;0,YEAR(E66),0)</x:f>
        <x:v>0</x:v>
      </x:c>
      <x:c r="K66" s="36" t="n">
        <x:f>IF(A66="",0,IF(COUNTIF('11_버전'!$A$6:$A$205,A66)&gt;1,1,0))</x:f>
        <x:v>0</x:v>
      </x:c>
    </x:row>
    <x:row r="67" ht="20" customHeight="1">
      <x:c r="A67" s="22"/>
      <x:c r="B67" s="22"/>
      <x:c r="C67" s="22"/>
      <x:c r="D67" s="22"/>
      <x:c r="E67" s="28"/>
      <x:c r="F67" s="28"/>
      <x:c r="G67" s="28"/>
      <x:c r="H67" s="22"/>
      <x:c r="I67" s="36" t="n">
        <x:f>IF(A67="",0,IF(AND(SUMIFS('10_방법론'!$N$6:$N$105,'10_방법론'!$A$6:$A$105,B67)=1,E67&gt;0,E67&lt;='01_설정'!$B$6,G67&lt;='01_설정'!$B$7),1,0))</x:f>
        <x:v>0</x:v>
      </x:c>
      <x:c r="J67" s="36" t="n">
        <x:f>IF(E67&gt;0,YEAR(E67),0)</x:f>
        <x:v>0</x:v>
      </x:c>
      <x:c r="K67" s="36" t="n">
        <x:f>IF(A67="",0,IF(COUNTIF('11_버전'!$A$6:$A$205,A67)&gt;1,1,0))</x:f>
        <x:v>0</x:v>
      </x:c>
    </x:row>
    <x:row r="68" ht="20" customHeight="1">
      <x:c r="A68" s="22"/>
      <x:c r="B68" s="22"/>
      <x:c r="C68" s="22"/>
      <x:c r="D68" s="22"/>
      <x:c r="E68" s="28"/>
      <x:c r="F68" s="28"/>
      <x:c r="G68" s="28"/>
      <x:c r="H68" s="22"/>
      <x:c r="I68" s="36" t="n">
        <x:f>IF(A68="",0,IF(AND(SUMIFS('10_방법론'!$N$6:$N$105,'10_방법론'!$A$6:$A$105,B68)=1,E68&gt;0,E68&lt;='01_설정'!$B$6,G68&lt;='01_설정'!$B$7),1,0))</x:f>
        <x:v>0</x:v>
      </x:c>
      <x:c r="J68" s="36" t="n">
        <x:f>IF(E68&gt;0,YEAR(E68),0)</x:f>
        <x:v>0</x:v>
      </x:c>
      <x:c r="K68" s="36" t="n">
        <x:f>IF(A68="",0,IF(COUNTIF('11_버전'!$A$6:$A$205,A68)&gt;1,1,0))</x:f>
        <x:v>0</x:v>
      </x:c>
    </x:row>
    <x:row r="69" ht="20" customHeight="1">
      <x:c r="A69" s="22"/>
      <x:c r="B69" s="22"/>
      <x:c r="C69" s="22"/>
      <x:c r="D69" s="22"/>
      <x:c r="E69" s="28"/>
      <x:c r="F69" s="28"/>
      <x:c r="G69" s="28"/>
      <x:c r="H69" s="22"/>
      <x:c r="I69" s="36" t="n">
        <x:f>IF(A69="",0,IF(AND(SUMIFS('10_방법론'!$N$6:$N$105,'10_방법론'!$A$6:$A$105,B69)=1,E69&gt;0,E69&lt;='01_설정'!$B$6,G69&lt;='01_설정'!$B$7),1,0))</x:f>
        <x:v>0</x:v>
      </x:c>
      <x:c r="J69" s="36" t="n">
        <x:f>IF(E69&gt;0,YEAR(E69),0)</x:f>
        <x:v>0</x:v>
      </x:c>
      <x:c r="K69" s="36" t="n">
        <x:f>IF(A69="",0,IF(COUNTIF('11_버전'!$A$6:$A$205,A69)&gt;1,1,0))</x:f>
        <x:v>0</x:v>
      </x:c>
    </x:row>
    <x:row r="70" ht="20" customHeight="1">
      <x:c r="A70" s="22"/>
      <x:c r="B70" s="22"/>
      <x:c r="C70" s="22"/>
      <x:c r="D70" s="22"/>
      <x:c r="E70" s="28"/>
      <x:c r="F70" s="28"/>
      <x:c r="G70" s="28"/>
      <x:c r="H70" s="22"/>
      <x:c r="I70" s="36" t="n">
        <x:f>IF(A70="",0,IF(AND(SUMIFS('10_방법론'!$N$6:$N$105,'10_방법론'!$A$6:$A$105,B70)=1,E70&gt;0,E70&lt;='01_설정'!$B$6,G70&lt;='01_설정'!$B$7),1,0))</x:f>
        <x:v>0</x:v>
      </x:c>
      <x:c r="J70" s="36" t="n">
        <x:f>IF(E70&gt;0,YEAR(E70),0)</x:f>
        <x:v>0</x:v>
      </x:c>
      <x:c r="K70" s="36" t="n">
        <x:f>IF(A70="",0,IF(COUNTIF('11_버전'!$A$6:$A$205,A70)&gt;1,1,0))</x:f>
        <x:v>0</x:v>
      </x:c>
    </x:row>
    <x:row r="71" ht="20" customHeight="1">
      <x:c r="A71" s="22"/>
      <x:c r="B71" s="22"/>
      <x:c r="C71" s="22"/>
      <x:c r="D71" s="22"/>
      <x:c r="E71" s="28"/>
      <x:c r="F71" s="28"/>
      <x:c r="G71" s="28"/>
      <x:c r="H71" s="22"/>
      <x:c r="I71" s="36" t="n">
        <x:f>IF(A71="",0,IF(AND(SUMIFS('10_방법론'!$N$6:$N$105,'10_방법론'!$A$6:$A$105,B71)=1,E71&gt;0,E71&lt;='01_설정'!$B$6,G71&lt;='01_설정'!$B$7),1,0))</x:f>
        <x:v>0</x:v>
      </x:c>
      <x:c r="J71" s="36" t="n">
        <x:f>IF(E71&gt;0,YEAR(E71),0)</x:f>
        <x:v>0</x:v>
      </x:c>
      <x:c r="K71" s="36" t="n">
        <x:f>IF(A71="",0,IF(COUNTIF('11_버전'!$A$6:$A$205,A71)&gt;1,1,0))</x:f>
        <x:v>0</x:v>
      </x:c>
    </x:row>
    <x:row r="72" ht="20" customHeight="1">
      <x:c r="A72" s="22"/>
      <x:c r="B72" s="22"/>
      <x:c r="C72" s="22"/>
      <x:c r="D72" s="22"/>
      <x:c r="E72" s="28"/>
      <x:c r="F72" s="28"/>
      <x:c r="G72" s="28"/>
      <x:c r="H72" s="22"/>
      <x:c r="I72" s="36" t="n">
        <x:f>IF(A72="",0,IF(AND(SUMIFS('10_방법론'!$N$6:$N$105,'10_방법론'!$A$6:$A$105,B72)=1,E72&gt;0,E72&lt;='01_설정'!$B$6,G72&lt;='01_설정'!$B$7),1,0))</x:f>
        <x:v>0</x:v>
      </x:c>
      <x:c r="J72" s="36" t="n">
        <x:f>IF(E72&gt;0,YEAR(E72),0)</x:f>
        <x:v>0</x:v>
      </x:c>
      <x:c r="K72" s="36" t="n">
        <x:f>IF(A72="",0,IF(COUNTIF('11_버전'!$A$6:$A$205,A72)&gt;1,1,0))</x:f>
        <x:v>0</x:v>
      </x:c>
    </x:row>
    <x:row r="73" ht="20" customHeight="1">
      <x:c r="A73" s="22"/>
      <x:c r="B73" s="22"/>
      <x:c r="C73" s="22"/>
      <x:c r="D73" s="22"/>
      <x:c r="E73" s="28"/>
      <x:c r="F73" s="28"/>
      <x:c r="G73" s="28"/>
      <x:c r="H73" s="22"/>
      <x:c r="I73" s="36" t="n">
        <x:f>IF(A73="",0,IF(AND(SUMIFS('10_방법론'!$N$6:$N$105,'10_방법론'!$A$6:$A$105,B73)=1,E73&gt;0,E73&lt;='01_설정'!$B$6,G73&lt;='01_설정'!$B$7),1,0))</x:f>
        <x:v>0</x:v>
      </x:c>
      <x:c r="J73" s="36" t="n">
        <x:f>IF(E73&gt;0,YEAR(E73),0)</x:f>
        <x:v>0</x:v>
      </x:c>
      <x:c r="K73" s="36" t="n">
        <x:f>IF(A73="",0,IF(COUNTIF('11_버전'!$A$6:$A$205,A73)&gt;1,1,0))</x:f>
        <x:v>0</x:v>
      </x:c>
    </x:row>
    <x:row r="74" ht="20" customHeight="1">
      <x:c r="A74" s="22"/>
      <x:c r="B74" s="22"/>
      <x:c r="C74" s="22"/>
      <x:c r="D74" s="22"/>
      <x:c r="E74" s="28"/>
      <x:c r="F74" s="28"/>
      <x:c r="G74" s="28"/>
      <x:c r="H74" s="22"/>
      <x:c r="I74" s="36" t="n">
        <x:f>IF(A74="",0,IF(AND(SUMIFS('10_방법론'!$N$6:$N$105,'10_방법론'!$A$6:$A$105,B74)=1,E74&gt;0,E74&lt;='01_설정'!$B$6,G74&lt;='01_설정'!$B$7),1,0))</x:f>
        <x:v>0</x:v>
      </x:c>
      <x:c r="J74" s="36" t="n">
        <x:f>IF(E74&gt;0,YEAR(E74),0)</x:f>
        <x:v>0</x:v>
      </x:c>
      <x:c r="K74" s="36" t="n">
        <x:f>IF(A74="",0,IF(COUNTIF('11_버전'!$A$6:$A$205,A74)&gt;1,1,0))</x:f>
        <x:v>0</x:v>
      </x:c>
    </x:row>
    <x:row r="75" ht="20" customHeight="1">
      <x:c r="A75" s="22"/>
      <x:c r="B75" s="22"/>
      <x:c r="C75" s="22"/>
      <x:c r="D75" s="22"/>
      <x:c r="E75" s="28"/>
      <x:c r="F75" s="28"/>
      <x:c r="G75" s="28"/>
      <x:c r="H75" s="22"/>
      <x:c r="I75" s="36" t="n">
        <x:f>IF(A75="",0,IF(AND(SUMIFS('10_방법론'!$N$6:$N$105,'10_방법론'!$A$6:$A$105,B75)=1,E75&gt;0,E75&lt;='01_설정'!$B$6,G75&lt;='01_설정'!$B$7),1,0))</x:f>
        <x:v>0</x:v>
      </x:c>
      <x:c r="J75" s="36" t="n">
        <x:f>IF(E75&gt;0,YEAR(E75),0)</x:f>
        <x:v>0</x:v>
      </x:c>
      <x:c r="K75" s="36" t="n">
        <x:f>IF(A75="",0,IF(COUNTIF('11_버전'!$A$6:$A$205,A75)&gt;1,1,0))</x:f>
        <x:v>0</x:v>
      </x:c>
    </x:row>
    <x:row r="76" ht="20" customHeight="1">
      <x:c r="A76" s="22"/>
      <x:c r="B76" s="22"/>
      <x:c r="C76" s="22"/>
      <x:c r="D76" s="22"/>
      <x:c r="E76" s="28"/>
      <x:c r="F76" s="28"/>
      <x:c r="G76" s="28"/>
      <x:c r="H76" s="22"/>
      <x:c r="I76" s="36" t="n">
        <x:f>IF(A76="",0,IF(AND(SUMIFS('10_방법론'!$N$6:$N$105,'10_방법론'!$A$6:$A$105,B76)=1,E76&gt;0,E76&lt;='01_설정'!$B$6,G76&lt;='01_설정'!$B$7),1,0))</x:f>
        <x:v>0</x:v>
      </x:c>
      <x:c r="J76" s="36" t="n">
        <x:f>IF(E76&gt;0,YEAR(E76),0)</x:f>
        <x:v>0</x:v>
      </x:c>
      <x:c r="K76" s="36" t="n">
        <x:f>IF(A76="",0,IF(COUNTIF('11_버전'!$A$6:$A$205,A76)&gt;1,1,0))</x:f>
        <x:v>0</x:v>
      </x:c>
    </x:row>
    <x:row r="77" ht="20" customHeight="1">
      <x:c r="A77" s="22"/>
      <x:c r="B77" s="22"/>
      <x:c r="C77" s="22"/>
      <x:c r="D77" s="22"/>
      <x:c r="E77" s="28"/>
      <x:c r="F77" s="28"/>
      <x:c r="G77" s="28"/>
      <x:c r="H77" s="22"/>
      <x:c r="I77" s="36" t="n">
        <x:f>IF(A77="",0,IF(AND(SUMIFS('10_방법론'!$N$6:$N$105,'10_방법론'!$A$6:$A$105,B77)=1,E77&gt;0,E77&lt;='01_설정'!$B$6,G77&lt;='01_설정'!$B$7),1,0))</x:f>
        <x:v>0</x:v>
      </x:c>
      <x:c r="J77" s="36" t="n">
        <x:f>IF(E77&gt;0,YEAR(E77),0)</x:f>
        <x:v>0</x:v>
      </x:c>
      <x:c r="K77" s="36" t="n">
        <x:f>IF(A77="",0,IF(COUNTIF('11_버전'!$A$6:$A$205,A77)&gt;1,1,0))</x:f>
        <x:v>0</x:v>
      </x:c>
    </x:row>
    <x:row r="78" ht="20" customHeight="1">
      <x:c r="A78" s="22"/>
      <x:c r="B78" s="22"/>
      <x:c r="C78" s="22"/>
      <x:c r="D78" s="22"/>
      <x:c r="E78" s="28"/>
      <x:c r="F78" s="28"/>
      <x:c r="G78" s="28"/>
      <x:c r="H78" s="22"/>
      <x:c r="I78" s="36" t="n">
        <x:f>IF(A78="",0,IF(AND(SUMIFS('10_방법론'!$N$6:$N$105,'10_방법론'!$A$6:$A$105,B78)=1,E78&gt;0,E78&lt;='01_설정'!$B$6,G78&lt;='01_설정'!$B$7),1,0))</x:f>
        <x:v>0</x:v>
      </x:c>
      <x:c r="J78" s="36" t="n">
        <x:f>IF(E78&gt;0,YEAR(E78),0)</x:f>
        <x:v>0</x:v>
      </x:c>
      <x:c r="K78" s="36" t="n">
        <x:f>IF(A78="",0,IF(COUNTIF('11_버전'!$A$6:$A$205,A78)&gt;1,1,0))</x:f>
        <x:v>0</x:v>
      </x:c>
    </x:row>
    <x:row r="79" ht="20" customHeight="1">
      <x:c r="A79" s="22"/>
      <x:c r="B79" s="22"/>
      <x:c r="C79" s="22"/>
      <x:c r="D79" s="22"/>
      <x:c r="E79" s="28"/>
      <x:c r="F79" s="28"/>
      <x:c r="G79" s="28"/>
      <x:c r="H79" s="22"/>
      <x:c r="I79" s="36" t="n">
        <x:f>IF(A79="",0,IF(AND(SUMIFS('10_방법론'!$N$6:$N$105,'10_방법론'!$A$6:$A$105,B79)=1,E79&gt;0,E79&lt;='01_설정'!$B$6,G79&lt;='01_설정'!$B$7),1,0))</x:f>
        <x:v>0</x:v>
      </x:c>
      <x:c r="J79" s="36" t="n">
        <x:f>IF(E79&gt;0,YEAR(E79),0)</x:f>
        <x:v>0</x:v>
      </x:c>
      <x:c r="K79" s="36" t="n">
        <x:f>IF(A79="",0,IF(COUNTIF('11_버전'!$A$6:$A$205,A79)&gt;1,1,0))</x:f>
        <x:v>0</x:v>
      </x:c>
    </x:row>
    <x:row r="80" ht="20" customHeight="1">
      <x:c r="A80" s="22"/>
      <x:c r="B80" s="22"/>
      <x:c r="C80" s="22"/>
      <x:c r="D80" s="22"/>
      <x:c r="E80" s="28"/>
      <x:c r="F80" s="28"/>
      <x:c r="G80" s="28"/>
      <x:c r="H80" s="22"/>
      <x:c r="I80" s="36" t="n">
        <x:f>IF(A80="",0,IF(AND(SUMIFS('10_방법론'!$N$6:$N$105,'10_방법론'!$A$6:$A$105,B80)=1,E80&gt;0,E80&lt;='01_설정'!$B$6,G80&lt;='01_설정'!$B$7),1,0))</x:f>
        <x:v>0</x:v>
      </x:c>
      <x:c r="J80" s="36" t="n">
        <x:f>IF(E80&gt;0,YEAR(E80),0)</x:f>
        <x:v>0</x:v>
      </x:c>
      <x:c r="K80" s="36" t="n">
        <x:f>IF(A80="",0,IF(COUNTIF('11_버전'!$A$6:$A$205,A80)&gt;1,1,0))</x:f>
        <x:v>0</x:v>
      </x:c>
    </x:row>
    <x:row r="81" ht="20" customHeight="1">
      <x:c r="A81" s="22"/>
      <x:c r="B81" s="22"/>
      <x:c r="C81" s="22"/>
      <x:c r="D81" s="22"/>
      <x:c r="E81" s="28"/>
      <x:c r="F81" s="28"/>
      <x:c r="G81" s="28"/>
      <x:c r="H81" s="22"/>
      <x:c r="I81" s="36" t="n">
        <x:f>IF(A81="",0,IF(AND(SUMIFS('10_방법론'!$N$6:$N$105,'10_방법론'!$A$6:$A$105,B81)=1,E81&gt;0,E81&lt;='01_설정'!$B$6,G81&lt;='01_설정'!$B$7),1,0))</x:f>
        <x:v>0</x:v>
      </x:c>
      <x:c r="J81" s="36" t="n">
        <x:f>IF(E81&gt;0,YEAR(E81),0)</x:f>
        <x:v>0</x:v>
      </x:c>
      <x:c r="K81" s="36" t="n">
        <x:f>IF(A81="",0,IF(COUNTIF('11_버전'!$A$6:$A$205,A81)&gt;1,1,0))</x:f>
        <x:v>0</x:v>
      </x:c>
    </x:row>
    <x:row r="82" ht="20" customHeight="1">
      <x:c r="A82" s="22"/>
      <x:c r="B82" s="22"/>
      <x:c r="C82" s="22"/>
      <x:c r="D82" s="22"/>
      <x:c r="E82" s="28"/>
      <x:c r="F82" s="28"/>
      <x:c r="G82" s="28"/>
      <x:c r="H82" s="22"/>
      <x:c r="I82" s="36" t="n">
        <x:f>IF(A82="",0,IF(AND(SUMIFS('10_방법론'!$N$6:$N$105,'10_방법론'!$A$6:$A$105,B82)=1,E82&gt;0,E82&lt;='01_설정'!$B$6,G82&lt;='01_설정'!$B$7),1,0))</x:f>
        <x:v>0</x:v>
      </x:c>
      <x:c r="J82" s="36" t="n">
        <x:f>IF(E82&gt;0,YEAR(E82),0)</x:f>
        <x:v>0</x:v>
      </x:c>
      <x:c r="K82" s="36" t="n">
        <x:f>IF(A82="",0,IF(COUNTIF('11_버전'!$A$6:$A$205,A82)&gt;1,1,0))</x:f>
        <x:v>0</x:v>
      </x:c>
    </x:row>
    <x:row r="83" ht="20" customHeight="1">
      <x:c r="A83" s="22"/>
      <x:c r="B83" s="22"/>
      <x:c r="C83" s="22"/>
      <x:c r="D83" s="22"/>
      <x:c r="E83" s="28"/>
      <x:c r="F83" s="28"/>
      <x:c r="G83" s="28"/>
      <x:c r="H83" s="22"/>
      <x:c r="I83" s="36" t="n">
        <x:f>IF(A83="",0,IF(AND(SUMIFS('10_방법론'!$N$6:$N$105,'10_방법론'!$A$6:$A$105,B83)=1,E83&gt;0,E83&lt;='01_설정'!$B$6,G83&lt;='01_설정'!$B$7),1,0))</x:f>
        <x:v>0</x:v>
      </x:c>
      <x:c r="J83" s="36" t="n">
        <x:f>IF(E83&gt;0,YEAR(E83),0)</x:f>
        <x:v>0</x:v>
      </x:c>
      <x:c r="K83" s="36" t="n">
        <x:f>IF(A83="",0,IF(COUNTIF('11_버전'!$A$6:$A$205,A83)&gt;1,1,0))</x:f>
        <x:v>0</x:v>
      </x:c>
    </x:row>
    <x:row r="84" ht="20" customHeight="1">
      <x:c r="A84" s="22"/>
      <x:c r="B84" s="22"/>
      <x:c r="C84" s="22"/>
      <x:c r="D84" s="22"/>
      <x:c r="E84" s="28"/>
      <x:c r="F84" s="28"/>
      <x:c r="G84" s="28"/>
      <x:c r="H84" s="22"/>
      <x:c r="I84" s="36" t="n">
        <x:f>IF(A84="",0,IF(AND(SUMIFS('10_방법론'!$N$6:$N$105,'10_방법론'!$A$6:$A$105,B84)=1,E84&gt;0,E84&lt;='01_설정'!$B$6,G84&lt;='01_설정'!$B$7),1,0))</x:f>
        <x:v>0</x:v>
      </x:c>
      <x:c r="J84" s="36" t="n">
        <x:f>IF(E84&gt;0,YEAR(E84),0)</x:f>
        <x:v>0</x:v>
      </x:c>
      <x:c r="K84" s="36" t="n">
        <x:f>IF(A84="",0,IF(COUNTIF('11_버전'!$A$6:$A$205,A84)&gt;1,1,0))</x:f>
        <x:v>0</x:v>
      </x:c>
    </x:row>
    <x:row r="85" ht="20" customHeight="1">
      <x:c r="A85" s="22"/>
      <x:c r="B85" s="22"/>
      <x:c r="C85" s="22"/>
      <x:c r="D85" s="22"/>
      <x:c r="E85" s="28"/>
      <x:c r="F85" s="28"/>
      <x:c r="G85" s="28"/>
      <x:c r="H85" s="22"/>
      <x:c r="I85" s="36" t="n">
        <x:f>IF(A85="",0,IF(AND(SUMIFS('10_방법론'!$N$6:$N$105,'10_방법론'!$A$6:$A$105,B85)=1,E85&gt;0,E85&lt;='01_설정'!$B$6,G85&lt;='01_설정'!$B$7),1,0))</x:f>
        <x:v>0</x:v>
      </x:c>
      <x:c r="J85" s="36" t="n">
        <x:f>IF(E85&gt;0,YEAR(E85),0)</x:f>
        <x:v>0</x:v>
      </x:c>
      <x:c r="K85" s="36" t="n">
        <x:f>IF(A85="",0,IF(COUNTIF('11_버전'!$A$6:$A$205,A85)&gt;1,1,0))</x:f>
        <x:v>0</x:v>
      </x:c>
    </x:row>
    <x:row r="86" ht="20" customHeight="1">
      <x:c r="A86" s="22"/>
      <x:c r="B86" s="22"/>
      <x:c r="C86" s="22"/>
      <x:c r="D86" s="22"/>
      <x:c r="E86" s="28"/>
      <x:c r="F86" s="28"/>
      <x:c r="G86" s="28"/>
      <x:c r="H86" s="22"/>
      <x:c r="I86" s="36" t="n">
        <x:f>IF(A86="",0,IF(AND(SUMIFS('10_방법론'!$N$6:$N$105,'10_방법론'!$A$6:$A$105,B86)=1,E86&gt;0,E86&lt;='01_설정'!$B$6,G86&lt;='01_설정'!$B$7),1,0))</x:f>
        <x:v>0</x:v>
      </x:c>
      <x:c r="J86" s="36" t="n">
        <x:f>IF(E86&gt;0,YEAR(E86),0)</x:f>
        <x:v>0</x:v>
      </x:c>
      <x:c r="K86" s="36" t="n">
        <x:f>IF(A86="",0,IF(COUNTIF('11_버전'!$A$6:$A$205,A86)&gt;1,1,0))</x:f>
        <x:v>0</x:v>
      </x:c>
    </x:row>
    <x:row r="87" ht="20" customHeight="1">
      <x:c r="A87" s="22"/>
      <x:c r="B87" s="22"/>
      <x:c r="C87" s="22"/>
      <x:c r="D87" s="22"/>
      <x:c r="E87" s="28"/>
      <x:c r="F87" s="28"/>
      <x:c r="G87" s="28"/>
      <x:c r="H87" s="22"/>
      <x:c r="I87" s="36" t="n">
        <x:f>IF(A87="",0,IF(AND(SUMIFS('10_방법론'!$N$6:$N$105,'10_방법론'!$A$6:$A$105,B87)=1,E87&gt;0,E87&lt;='01_설정'!$B$6,G87&lt;='01_설정'!$B$7),1,0))</x:f>
        <x:v>0</x:v>
      </x:c>
      <x:c r="J87" s="36" t="n">
        <x:f>IF(E87&gt;0,YEAR(E87),0)</x:f>
        <x:v>0</x:v>
      </x:c>
      <x:c r="K87" s="36" t="n">
        <x:f>IF(A87="",0,IF(COUNTIF('11_버전'!$A$6:$A$205,A87)&gt;1,1,0))</x:f>
        <x:v>0</x:v>
      </x:c>
    </x:row>
    <x:row r="88" ht="20" customHeight="1">
      <x:c r="A88" s="22"/>
      <x:c r="B88" s="22"/>
      <x:c r="C88" s="22"/>
      <x:c r="D88" s="22"/>
      <x:c r="E88" s="28"/>
      <x:c r="F88" s="28"/>
      <x:c r="G88" s="28"/>
      <x:c r="H88" s="22"/>
      <x:c r="I88" s="36" t="n">
        <x:f>IF(A88="",0,IF(AND(SUMIFS('10_방법론'!$N$6:$N$105,'10_방법론'!$A$6:$A$105,B88)=1,E88&gt;0,E88&lt;='01_설정'!$B$6,G88&lt;='01_설정'!$B$7),1,0))</x:f>
        <x:v>0</x:v>
      </x:c>
      <x:c r="J88" s="36" t="n">
        <x:f>IF(E88&gt;0,YEAR(E88),0)</x:f>
        <x:v>0</x:v>
      </x:c>
      <x:c r="K88" s="36" t="n">
        <x:f>IF(A88="",0,IF(COUNTIF('11_버전'!$A$6:$A$205,A88)&gt;1,1,0))</x:f>
        <x:v>0</x:v>
      </x:c>
    </x:row>
    <x:row r="89" ht="20" customHeight="1">
      <x:c r="A89" s="22"/>
      <x:c r="B89" s="22"/>
      <x:c r="C89" s="22"/>
      <x:c r="D89" s="22"/>
      <x:c r="E89" s="28"/>
      <x:c r="F89" s="28"/>
      <x:c r="G89" s="28"/>
      <x:c r="H89" s="22"/>
      <x:c r="I89" s="36" t="n">
        <x:f>IF(A89="",0,IF(AND(SUMIFS('10_방법론'!$N$6:$N$105,'10_방법론'!$A$6:$A$105,B89)=1,E89&gt;0,E89&lt;='01_설정'!$B$6,G89&lt;='01_설정'!$B$7),1,0))</x:f>
        <x:v>0</x:v>
      </x:c>
      <x:c r="J89" s="36" t="n">
        <x:f>IF(E89&gt;0,YEAR(E89),0)</x:f>
        <x:v>0</x:v>
      </x:c>
      <x:c r="K89" s="36" t="n">
        <x:f>IF(A89="",0,IF(COUNTIF('11_버전'!$A$6:$A$205,A89)&gt;1,1,0))</x:f>
        <x:v>0</x:v>
      </x:c>
    </x:row>
    <x:row r="90" ht="20" customHeight="1">
      <x:c r="A90" s="22"/>
      <x:c r="B90" s="22"/>
      <x:c r="C90" s="22"/>
      <x:c r="D90" s="22"/>
      <x:c r="E90" s="28"/>
      <x:c r="F90" s="28"/>
      <x:c r="G90" s="28"/>
      <x:c r="H90" s="22"/>
      <x:c r="I90" s="36" t="n">
        <x:f>IF(A90="",0,IF(AND(SUMIFS('10_방법론'!$N$6:$N$105,'10_방법론'!$A$6:$A$105,B90)=1,E90&gt;0,E90&lt;='01_설정'!$B$6,G90&lt;='01_설정'!$B$7),1,0))</x:f>
        <x:v>0</x:v>
      </x:c>
      <x:c r="J90" s="36" t="n">
        <x:f>IF(E90&gt;0,YEAR(E90),0)</x:f>
        <x:v>0</x:v>
      </x:c>
      <x:c r="K90" s="36" t="n">
        <x:f>IF(A90="",0,IF(COUNTIF('11_버전'!$A$6:$A$205,A90)&gt;1,1,0))</x:f>
        <x:v>0</x:v>
      </x:c>
    </x:row>
    <x:row r="91" ht="20" customHeight="1">
      <x:c r="A91" s="22"/>
      <x:c r="B91" s="22"/>
      <x:c r="C91" s="22"/>
      <x:c r="D91" s="22"/>
      <x:c r="E91" s="28"/>
      <x:c r="F91" s="28"/>
      <x:c r="G91" s="28"/>
      <x:c r="H91" s="22"/>
      <x:c r="I91" s="36" t="n">
        <x:f>IF(A91="",0,IF(AND(SUMIFS('10_방법론'!$N$6:$N$105,'10_방법론'!$A$6:$A$105,B91)=1,E91&gt;0,E91&lt;='01_설정'!$B$6,G91&lt;='01_설정'!$B$7),1,0))</x:f>
        <x:v>0</x:v>
      </x:c>
      <x:c r="J91" s="36" t="n">
        <x:f>IF(E91&gt;0,YEAR(E91),0)</x:f>
        <x:v>0</x:v>
      </x:c>
      <x:c r="K91" s="36" t="n">
        <x:f>IF(A91="",0,IF(COUNTIF('11_버전'!$A$6:$A$205,A91)&gt;1,1,0))</x:f>
        <x:v>0</x:v>
      </x:c>
    </x:row>
    <x:row r="92" ht="20" customHeight="1">
      <x:c r="A92" s="22"/>
      <x:c r="B92" s="22"/>
      <x:c r="C92" s="22"/>
      <x:c r="D92" s="22"/>
      <x:c r="E92" s="28"/>
      <x:c r="F92" s="28"/>
      <x:c r="G92" s="28"/>
      <x:c r="H92" s="22"/>
      <x:c r="I92" s="36" t="n">
        <x:f>IF(A92="",0,IF(AND(SUMIFS('10_방법론'!$N$6:$N$105,'10_방법론'!$A$6:$A$105,B92)=1,E92&gt;0,E92&lt;='01_설정'!$B$6,G92&lt;='01_설정'!$B$7),1,0))</x:f>
        <x:v>0</x:v>
      </x:c>
      <x:c r="J92" s="36" t="n">
        <x:f>IF(E92&gt;0,YEAR(E92),0)</x:f>
        <x:v>0</x:v>
      </x:c>
      <x:c r="K92" s="36" t="n">
        <x:f>IF(A92="",0,IF(COUNTIF('11_버전'!$A$6:$A$205,A92)&gt;1,1,0))</x:f>
        <x:v>0</x:v>
      </x:c>
    </x:row>
    <x:row r="93" ht="20" customHeight="1">
      <x:c r="A93" s="22"/>
      <x:c r="B93" s="22"/>
      <x:c r="C93" s="22"/>
      <x:c r="D93" s="22"/>
      <x:c r="E93" s="28"/>
      <x:c r="F93" s="28"/>
      <x:c r="G93" s="28"/>
      <x:c r="H93" s="22"/>
      <x:c r="I93" s="36" t="n">
        <x:f>IF(A93="",0,IF(AND(SUMIFS('10_방법론'!$N$6:$N$105,'10_방법론'!$A$6:$A$105,B93)=1,E93&gt;0,E93&lt;='01_설정'!$B$6,G93&lt;='01_설정'!$B$7),1,0))</x:f>
        <x:v>0</x:v>
      </x:c>
      <x:c r="J93" s="36" t="n">
        <x:f>IF(E93&gt;0,YEAR(E93),0)</x:f>
        <x:v>0</x:v>
      </x:c>
      <x:c r="K93" s="36" t="n">
        <x:f>IF(A93="",0,IF(COUNTIF('11_버전'!$A$6:$A$205,A93)&gt;1,1,0))</x:f>
        <x:v>0</x:v>
      </x:c>
    </x:row>
    <x:row r="94" ht="20" customHeight="1">
      <x:c r="A94" s="22"/>
      <x:c r="B94" s="22"/>
      <x:c r="C94" s="22"/>
      <x:c r="D94" s="22"/>
      <x:c r="E94" s="28"/>
      <x:c r="F94" s="28"/>
      <x:c r="G94" s="28"/>
      <x:c r="H94" s="22"/>
      <x:c r="I94" s="36" t="n">
        <x:f>IF(A94="",0,IF(AND(SUMIFS('10_방법론'!$N$6:$N$105,'10_방법론'!$A$6:$A$105,B94)=1,E94&gt;0,E94&lt;='01_설정'!$B$6,G94&lt;='01_설정'!$B$7),1,0))</x:f>
        <x:v>0</x:v>
      </x:c>
      <x:c r="J94" s="36" t="n">
        <x:f>IF(E94&gt;0,YEAR(E94),0)</x:f>
        <x:v>0</x:v>
      </x:c>
      <x:c r="K94" s="36" t="n">
        <x:f>IF(A94="",0,IF(COUNTIF('11_버전'!$A$6:$A$205,A94)&gt;1,1,0))</x:f>
        <x:v>0</x:v>
      </x:c>
    </x:row>
    <x:row r="95" ht="20" customHeight="1">
      <x:c r="A95" s="22"/>
      <x:c r="B95" s="22"/>
      <x:c r="C95" s="22"/>
      <x:c r="D95" s="22"/>
      <x:c r="E95" s="28"/>
      <x:c r="F95" s="28"/>
      <x:c r="G95" s="28"/>
      <x:c r="H95" s="22"/>
      <x:c r="I95" s="36" t="n">
        <x:f>IF(A95="",0,IF(AND(SUMIFS('10_방법론'!$N$6:$N$105,'10_방법론'!$A$6:$A$105,B95)=1,E95&gt;0,E95&lt;='01_설정'!$B$6,G95&lt;='01_설정'!$B$7),1,0))</x:f>
        <x:v>0</x:v>
      </x:c>
      <x:c r="J95" s="36" t="n">
        <x:f>IF(E95&gt;0,YEAR(E95),0)</x:f>
        <x:v>0</x:v>
      </x:c>
      <x:c r="K95" s="36" t="n">
        <x:f>IF(A95="",0,IF(COUNTIF('11_버전'!$A$6:$A$205,A95)&gt;1,1,0))</x:f>
        <x:v>0</x:v>
      </x:c>
    </x:row>
    <x:row r="96" ht="20" customHeight="1">
      <x:c r="A96" s="22"/>
      <x:c r="B96" s="22"/>
      <x:c r="C96" s="22"/>
      <x:c r="D96" s="22"/>
      <x:c r="E96" s="28"/>
      <x:c r="F96" s="28"/>
      <x:c r="G96" s="28"/>
      <x:c r="H96" s="22"/>
      <x:c r="I96" s="36" t="n">
        <x:f>IF(A96="",0,IF(AND(SUMIFS('10_방법론'!$N$6:$N$105,'10_방법론'!$A$6:$A$105,B96)=1,E96&gt;0,E96&lt;='01_설정'!$B$6,G96&lt;='01_설정'!$B$7),1,0))</x:f>
        <x:v>0</x:v>
      </x:c>
      <x:c r="J96" s="36" t="n">
        <x:f>IF(E96&gt;0,YEAR(E96),0)</x:f>
        <x:v>0</x:v>
      </x:c>
      <x:c r="K96" s="36" t="n">
        <x:f>IF(A96="",0,IF(COUNTIF('11_버전'!$A$6:$A$205,A96)&gt;1,1,0))</x:f>
        <x:v>0</x:v>
      </x:c>
    </x:row>
    <x:row r="97" ht="20" customHeight="1">
      <x:c r="A97" s="22"/>
      <x:c r="B97" s="22"/>
      <x:c r="C97" s="22"/>
      <x:c r="D97" s="22"/>
      <x:c r="E97" s="28"/>
      <x:c r="F97" s="28"/>
      <x:c r="G97" s="28"/>
      <x:c r="H97" s="22"/>
      <x:c r="I97" s="36" t="n">
        <x:f>IF(A97="",0,IF(AND(SUMIFS('10_방법론'!$N$6:$N$105,'10_방법론'!$A$6:$A$105,B97)=1,E97&gt;0,E97&lt;='01_설정'!$B$6,G97&lt;='01_설정'!$B$7),1,0))</x:f>
        <x:v>0</x:v>
      </x:c>
      <x:c r="J97" s="36" t="n">
        <x:f>IF(E97&gt;0,YEAR(E97),0)</x:f>
        <x:v>0</x:v>
      </x:c>
      <x:c r="K97" s="36" t="n">
        <x:f>IF(A97="",0,IF(COUNTIF('11_버전'!$A$6:$A$205,A97)&gt;1,1,0))</x:f>
        <x:v>0</x:v>
      </x:c>
    </x:row>
    <x:row r="98" ht="20" customHeight="1">
      <x:c r="A98" s="22"/>
      <x:c r="B98" s="22"/>
      <x:c r="C98" s="22"/>
      <x:c r="D98" s="22"/>
      <x:c r="E98" s="28"/>
      <x:c r="F98" s="28"/>
      <x:c r="G98" s="28"/>
      <x:c r="H98" s="22"/>
      <x:c r="I98" s="36" t="n">
        <x:f>IF(A98="",0,IF(AND(SUMIFS('10_방법론'!$N$6:$N$105,'10_방법론'!$A$6:$A$105,B98)=1,E98&gt;0,E98&lt;='01_설정'!$B$6,G98&lt;='01_설정'!$B$7),1,0))</x:f>
        <x:v>0</x:v>
      </x:c>
      <x:c r="J98" s="36" t="n">
        <x:f>IF(E98&gt;0,YEAR(E98),0)</x:f>
        <x:v>0</x:v>
      </x:c>
      <x:c r="K98" s="36" t="n">
        <x:f>IF(A98="",0,IF(COUNTIF('11_버전'!$A$6:$A$205,A98)&gt;1,1,0))</x:f>
        <x:v>0</x:v>
      </x:c>
    </x:row>
    <x:row r="99" ht="20" customHeight="1">
      <x:c r="A99" s="22"/>
      <x:c r="B99" s="22"/>
      <x:c r="C99" s="22"/>
      <x:c r="D99" s="22"/>
      <x:c r="E99" s="28"/>
      <x:c r="F99" s="28"/>
      <x:c r="G99" s="28"/>
      <x:c r="H99" s="22"/>
      <x:c r="I99" s="36" t="n">
        <x:f>IF(A99="",0,IF(AND(SUMIFS('10_방법론'!$N$6:$N$105,'10_방법론'!$A$6:$A$105,B99)=1,E99&gt;0,E99&lt;='01_설정'!$B$6,G99&lt;='01_설정'!$B$7),1,0))</x:f>
        <x:v>0</x:v>
      </x:c>
      <x:c r="J99" s="36" t="n">
        <x:f>IF(E99&gt;0,YEAR(E99),0)</x:f>
        <x:v>0</x:v>
      </x:c>
      <x:c r="K99" s="36" t="n">
        <x:f>IF(A99="",0,IF(COUNTIF('11_버전'!$A$6:$A$205,A99)&gt;1,1,0))</x:f>
        <x:v>0</x:v>
      </x:c>
    </x:row>
    <x:row r="100" ht="20" customHeight="1">
      <x:c r="A100" s="22"/>
      <x:c r="B100" s="22"/>
      <x:c r="C100" s="22"/>
      <x:c r="D100" s="22"/>
      <x:c r="E100" s="28"/>
      <x:c r="F100" s="28"/>
      <x:c r="G100" s="28"/>
      <x:c r="H100" s="22"/>
      <x:c r="I100" s="36" t="n">
        <x:f>IF(A100="",0,IF(AND(SUMIFS('10_방법론'!$N$6:$N$105,'10_방법론'!$A$6:$A$105,B100)=1,E100&gt;0,E100&lt;='01_설정'!$B$6,G100&lt;='01_설정'!$B$7),1,0))</x:f>
        <x:v>0</x:v>
      </x:c>
      <x:c r="J100" s="36" t="n">
        <x:f>IF(E100&gt;0,YEAR(E100),0)</x:f>
        <x:v>0</x:v>
      </x:c>
      <x:c r="K100" s="36" t="n">
        <x:f>IF(A100="",0,IF(COUNTIF('11_버전'!$A$6:$A$205,A100)&gt;1,1,0))</x:f>
        <x:v>0</x:v>
      </x:c>
    </x:row>
    <x:row r="101" ht="20" customHeight="1">
      <x:c r="A101" s="22"/>
      <x:c r="B101" s="22"/>
      <x:c r="C101" s="22"/>
      <x:c r="D101" s="22"/>
      <x:c r="E101" s="28"/>
      <x:c r="F101" s="28"/>
      <x:c r="G101" s="28"/>
      <x:c r="H101" s="22"/>
      <x:c r="I101" s="36" t="n">
        <x:f>IF(A101="",0,IF(AND(SUMIFS('10_방법론'!$N$6:$N$105,'10_방법론'!$A$6:$A$105,B101)=1,E101&gt;0,E101&lt;='01_설정'!$B$6,G101&lt;='01_설정'!$B$7),1,0))</x:f>
        <x:v>0</x:v>
      </x:c>
      <x:c r="J101" s="36" t="n">
        <x:f>IF(E101&gt;0,YEAR(E101),0)</x:f>
        <x:v>0</x:v>
      </x:c>
      <x:c r="K101" s="36" t="n">
        <x:f>IF(A101="",0,IF(COUNTIF('11_버전'!$A$6:$A$205,A101)&gt;1,1,0))</x:f>
        <x:v>0</x:v>
      </x:c>
    </x:row>
    <x:row r="102" ht="20" customHeight="1">
      <x:c r="A102" s="22"/>
      <x:c r="B102" s="22"/>
      <x:c r="C102" s="22"/>
      <x:c r="D102" s="22"/>
      <x:c r="E102" s="28"/>
      <x:c r="F102" s="28"/>
      <x:c r="G102" s="28"/>
      <x:c r="H102" s="22"/>
      <x:c r="I102" s="36" t="n">
        <x:f>IF(A102="",0,IF(AND(SUMIFS('10_방법론'!$N$6:$N$105,'10_방법론'!$A$6:$A$105,B102)=1,E102&gt;0,E102&lt;='01_설정'!$B$6,G102&lt;='01_설정'!$B$7),1,0))</x:f>
        <x:v>0</x:v>
      </x:c>
      <x:c r="J102" s="36" t="n">
        <x:f>IF(E102&gt;0,YEAR(E102),0)</x:f>
        <x:v>0</x:v>
      </x:c>
      <x:c r="K102" s="36" t="n">
        <x:f>IF(A102="",0,IF(COUNTIF('11_버전'!$A$6:$A$205,A102)&gt;1,1,0))</x:f>
        <x:v>0</x:v>
      </x:c>
    </x:row>
    <x:row r="103" ht="20" customHeight="1">
      <x:c r="A103" s="22"/>
      <x:c r="B103" s="22"/>
      <x:c r="C103" s="22"/>
      <x:c r="D103" s="22"/>
      <x:c r="E103" s="28"/>
      <x:c r="F103" s="28"/>
      <x:c r="G103" s="28"/>
      <x:c r="H103" s="22"/>
      <x:c r="I103" s="36" t="n">
        <x:f>IF(A103="",0,IF(AND(SUMIFS('10_방법론'!$N$6:$N$105,'10_방법론'!$A$6:$A$105,B103)=1,E103&gt;0,E103&lt;='01_설정'!$B$6,G103&lt;='01_설정'!$B$7),1,0))</x:f>
        <x:v>0</x:v>
      </x:c>
      <x:c r="J103" s="36" t="n">
        <x:f>IF(E103&gt;0,YEAR(E103),0)</x:f>
        <x:v>0</x:v>
      </x:c>
      <x:c r="K103" s="36" t="n">
        <x:f>IF(A103="",0,IF(COUNTIF('11_버전'!$A$6:$A$205,A103)&gt;1,1,0))</x:f>
        <x:v>0</x:v>
      </x:c>
    </x:row>
    <x:row r="104" ht="20" customHeight="1">
      <x:c r="A104" s="22"/>
      <x:c r="B104" s="22"/>
      <x:c r="C104" s="22"/>
      <x:c r="D104" s="22"/>
      <x:c r="E104" s="28"/>
      <x:c r="F104" s="28"/>
      <x:c r="G104" s="28"/>
      <x:c r="H104" s="22"/>
      <x:c r="I104" s="36" t="n">
        <x:f>IF(A104="",0,IF(AND(SUMIFS('10_방법론'!$N$6:$N$105,'10_방법론'!$A$6:$A$105,B104)=1,E104&gt;0,E104&lt;='01_설정'!$B$6,G104&lt;='01_설정'!$B$7),1,0))</x:f>
        <x:v>0</x:v>
      </x:c>
      <x:c r="J104" s="36" t="n">
        <x:f>IF(E104&gt;0,YEAR(E104),0)</x:f>
        <x:v>0</x:v>
      </x:c>
      <x:c r="K104" s="36" t="n">
        <x:f>IF(A104="",0,IF(COUNTIF('11_버전'!$A$6:$A$205,A104)&gt;1,1,0))</x:f>
        <x:v>0</x:v>
      </x:c>
    </x:row>
    <x:row r="105" ht="20" customHeight="1">
      <x:c r="A105" s="22"/>
      <x:c r="B105" s="22"/>
      <x:c r="C105" s="22"/>
      <x:c r="D105" s="22"/>
      <x:c r="E105" s="28"/>
      <x:c r="F105" s="28"/>
      <x:c r="G105" s="28"/>
      <x:c r="H105" s="22"/>
      <x:c r="I105" s="36" t="n">
        <x:f>IF(A105="",0,IF(AND(SUMIFS('10_방법론'!$N$6:$N$105,'10_방법론'!$A$6:$A$105,B105)=1,E105&gt;0,E105&lt;='01_설정'!$B$6,G105&lt;='01_설정'!$B$7),1,0))</x:f>
        <x:v>0</x:v>
      </x:c>
      <x:c r="J105" s="36" t="n">
        <x:f>IF(E105&gt;0,YEAR(E105),0)</x:f>
        <x:v>0</x:v>
      </x:c>
      <x:c r="K105" s="36" t="n">
        <x:f>IF(A105="",0,IF(COUNTIF('11_버전'!$A$6:$A$205,A105)&gt;1,1,0))</x:f>
        <x:v>0</x:v>
      </x:c>
    </x:row>
    <x:row r="106" ht="20" customHeight="1">
      <x:c r="A106" s="22"/>
      <x:c r="B106" s="22"/>
      <x:c r="C106" s="22"/>
      <x:c r="D106" s="22"/>
      <x:c r="E106" s="28"/>
      <x:c r="F106" s="28"/>
      <x:c r="G106" s="28"/>
      <x:c r="H106" s="22"/>
      <x:c r="I106" s="36" t="n">
        <x:f>IF(A106="",0,IF(AND(SUMIFS('10_방법론'!$N$6:$N$105,'10_방법론'!$A$6:$A$105,B106)=1,E106&gt;0,E106&lt;='01_설정'!$B$6,G106&lt;='01_설정'!$B$7),1,0))</x:f>
        <x:v>0</x:v>
      </x:c>
      <x:c r="J106" s="36" t="n">
        <x:f>IF(E106&gt;0,YEAR(E106),0)</x:f>
        <x:v>0</x:v>
      </x:c>
      <x:c r="K106" s="36" t="n">
        <x:f>IF(A106="",0,IF(COUNTIF('11_버전'!$A$6:$A$205,A106)&gt;1,1,0))</x:f>
        <x:v>0</x:v>
      </x:c>
    </x:row>
    <x:row r="107" ht="20" customHeight="1">
      <x:c r="A107" s="22"/>
      <x:c r="B107" s="22"/>
      <x:c r="C107" s="22"/>
      <x:c r="D107" s="22"/>
      <x:c r="E107" s="28"/>
      <x:c r="F107" s="28"/>
      <x:c r="G107" s="28"/>
      <x:c r="H107" s="22"/>
      <x:c r="I107" s="36" t="n">
        <x:f>IF(A107="",0,IF(AND(SUMIFS('10_방법론'!$N$6:$N$105,'10_방법론'!$A$6:$A$105,B107)=1,E107&gt;0,E107&lt;='01_설정'!$B$6,G107&lt;='01_설정'!$B$7),1,0))</x:f>
        <x:v>0</x:v>
      </x:c>
      <x:c r="J107" s="36" t="n">
        <x:f>IF(E107&gt;0,YEAR(E107),0)</x:f>
        <x:v>0</x:v>
      </x:c>
      <x:c r="K107" s="36" t="n">
        <x:f>IF(A107="",0,IF(COUNTIF('11_버전'!$A$6:$A$205,A107)&gt;1,1,0))</x:f>
        <x:v>0</x:v>
      </x:c>
    </x:row>
    <x:row r="108" ht="20" customHeight="1">
      <x:c r="A108" s="22"/>
      <x:c r="B108" s="22"/>
      <x:c r="C108" s="22"/>
      <x:c r="D108" s="22"/>
      <x:c r="E108" s="28"/>
      <x:c r="F108" s="28"/>
      <x:c r="G108" s="28"/>
      <x:c r="H108" s="22"/>
      <x:c r="I108" s="36" t="n">
        <x:f>IF(A108="",0,IF(AND(SUMIFS('10_방법론'!$N$6:$N$105,'10_방법론'!$A$6:$A$105,B108)=1,E108&gt;0,E108&lt;='01_설정'!$B$6,G108&lt;='01_설정'!$B$7),1,0))</x:f>
        <x:v>0</x:v>
      </x:c>
      <x:c r="J108" s="36" t="n">
        <x:f>IF(E108&gt;0,YEAR(E108),0)</x:f>
        <x:v>0</x:v>
      </x:c>
      <x:c r="K108" s="36" t="n">
        <x:f>IF(A108="",0,IF(COUNTIF('11_버전'!$A$6:$A$205,A108)&gt;1,1,0))</x:f>
        <x:v>0</x:v>
      </x:c>
    </x:row>
    <x:row r="109" ht="20" customHeight="1">
      <x:c r="A109" s="22"/>
      <x:c r="B109" s="22"/>
      <x:c r="C109" s="22"/>
      <x:c r="D109" s="22"/>
      <x:c r="E109" s="28"/>
      <x:c r="F109" s="28"/>
      <x:c r="G109" s="28"/>
      <x:c r="H109" s="22"/>
      <x:c r="I109" s="36" t="n">
        <x:f>IF(A109="",0,IF(AND(SUMIFS('10_방법론'!$N$6:$N$105,'10_방법론'!$A$6:$A$105,B109)=1,E109&gt;0,E109&lt;='01_설정'!$B$6,G109&lt;='01_설정'!$B$7),1,0))</x:f>
        <x:v>0</x:v>
      </x:c>
      <x:c r="J109" s="36" t="n">
        <x:f>IF(E109&gt;0,YEAR(E109),0)</x:f>
        <x:v>0</x:v>
      </x:c>
      <x:c r="K109" s="36" t="n">
        <x:f>IF(A109="",0,IF(COUNTIF('11_버전'!$A$6:$A$205,A109)&gt;1,1,0))</x:f>
        <x:v>0</x:v>
      </x:c>
    </x:row>
    <x:row r="110" ht="20" customHeight="1">
      <x:c r="A110" s="22"/>
      <x:c r="B110" s="22"/>
      <x:c r="C110" s="22"/>
      <x:c r="D110" s="22"/>
      <x:c r="E110" s="28"/>
      <x:c r="F110" s="28"/>
      <x:c r="G110" s="28"/>
      <x:c r="H110" s="22"/>
      <x:c r="I110" s="36" t="n">
        <x:f>IF(A110="",0,IF(AND(SUMIFS('10_방법론'!$N$6:$N$105,'10_방법론'!$A$6:$A$105,B110)=1,E110&gt;0,E110&lt;='01_설정'!$B$6,G110&lt;='01_설정'!$B$7),1,0))</x:f>
        <x:v>0</x:v>
      </x:c>
      <x:c r="J110" s="36" t="n">
        <x:f>IF(E110&gt;0,YEAR(E110),0)</x:f>
        <x:v>0</x:v>
      </x:c>
      <x:c r="K110" s="36" t="n">
        <x:f>IF(A110="",0,IF(COUNTIF('11_버전'!$A$6:$A$205,A110)&gt;1,1,0))</x:f>
        <x:v>0</x:v>
      </x:c>
    </x:row>
    <x:row r="111" ht="20" customHeight="1">
      <x:c r="A111" s="22"/>
      <x:c r="B111" s="22"/>
      <x:c r="C111" s="22"/>
      <x:c r="D111" s="22"/>
      <x:c r="E111" s="28"/>
      <x:c r="F111" s="28"/>
      <x:c r="G111" s="28"/>
      <x:c r="H111" s="22"/>
      <x:c r="I111" s="36" t="n">
        <x:f>IF(A111="",0,IF(AND(SUMIFS('10_방법론'!$N$6:$N$105,'10_방법론'!$A$6:$A$105,B111)=1,E111&gt;0,E111&lt;='01_설정'!$B$6,G111&lt;='01_설정'!$B$7),1,0))</x:f>
        <x:v>0</x:v>
      </x:c>
      <x:c r="J111" s="36" t="n">
        <x:f>IF(E111&gt;0,YEAR(E111),0)</x:f>
        <x:v>0</x:v>
      </x:c>
      <x:c r="K111" s="36" t="n">
        <x:f>IF(A111="",0,IF(COUNTIF('11_버전'!$A$6:$A$205,A111)&gt;1,1,0))</x:f>
        <x:v>0</x:v>
      </x:c>
    </x:row>
    <x:row r="112" ht="20" customHeight="1">
      <x:c r="A112" s="22"/>
      <x:c r="B112" s="22"/>
      <x:c r="C112" s="22"/>
      <x:c r="D112" s="22"/>
      <x:c r="E112" s="28"/>
      <x:c r="F112" s="28"/>
      <x:c r="G112" s="28"/>
      <x:c r="H112" s="22"/>
      <x:c r="I112" s="36" t="n">
        <x:f>IF(A112="",0,IF(AND(SUMIFS('10_방법론'!$N$6:$N$105,'10_방법론'!$A$6:$A$105,B112)=1,E112&gt;0,E112&lt;='01_설정'!$B$6,G112&lt;='01_설정'!$B$7),1,0))</x:f>
        <x:v>0</x:v>
      </x:c>
      <x:c r="J112" s="36" t="n">
        <x:f>IF(E112&gt;0,YEAR(E112),0)</x:f>
        <x:v>0</x:v>
      </x:c>
      <x:c r="K112" s="36" t="n">
        <x:f>IF(A112="",0,IF(COUNTIF('11_버전'!$A$6:$A$205,A112)&gt;1,1,0))</x:f>
        <x:v>0</x:v>
      </x:c>
    </x:row>
    <x:row r="113" ht="20" customHeight="1">
      <x:c r="A113" s="22"/>
      <x:c r="B113" s="22"/>
      <x:c r="C113" s="22"/>
      <x:c r="D113" s="22"/>
      <x:c r="E113" s="28"/>
      <x:c r="F113" s="28"/>
      <x:c r="G113" s="28"/>
      <x:c r="H113" s="22"/>
      <x:c r="I113" s="36" t="n">
        <x:f>IF(A113="",0,IF(AND(SUMIFS('10_방법론'!$N$6:$N$105,'10_방법론'!$A$6:$A$105,B113)=1,E113&gt;0,E113&lt;='01_설정'!$B$6,G113&lt;='01_설정'!$B$7),1,0))</x:f>
        <x:v>0</x:v>
      </x:c>
      <x:c r="J113" s="36" t="n">
        <x:f>IF(E113&gt;0,YEAR(E113),0)</x:f>
        <x:v>0</x:v>
      </x:c>
      <x:c r="K113" s="36" t="n">
        <x:f>IF(A113="",0,IF(COUNTIF('11_버전'!$A$6:$A$205,A113)&gt;1,1,0))</x:f>
        <x:v>0</x:v>
      </x:c>
    </x:row>
    <x:row r="114" ht="20" customHeight="1">
      <x:c r="A114" s="22"/>
      <x:c r="B114" s="22"/>
      <x:c r="C114" s="22"/>
      <x:c r="D114" s="22"/>
      <x:c r="E114" s="28"/>
      <x:c r="F114" s="28"/>
      <x:c r="G114" s="28"/>
      <x:c r="H114" s="22"/>
      <x:c r="I114" s="36" t="n">
        <x:f>IF(A114="",0,IF(AND(SUMIFS('10_방법론'!$N$6:$N$105,'10_방법론'!$A$6:$A$105,B114)=1,E114&gt;0,E114&lt;='01_설정'!$B$6,G114&lt;='01_설정'!$B$7),1,0))</x:f>
        <x:v>0</x:v>
      </x:c>
      <x:c r="J114" s="36" t="n">
        <x:f>IF(E114&gt;0,YEAR(E114),0)</x:f>
        <x:v>0</x:v>
      </x:c>
      <x:c r="K114" s="36" t="n">
        <x:f>IF(A114="",0,IF(COUNTIF('11_버전'!$A$6:$A$205,A114)&gt;1,1,0))</x:f>
        <x:v>0</x:v>
      </x:c>
    </x:row>
    <x:row r="115" ht="20" customHeight="1">
      <x:c r="A115" s="22"/>
      <x:c r="B115" s="22"/>
      <x:c r="C115" s="22"/>
      <x:c r="D115" s="22"/>
      <x:c r="E115" s="28"/>
      <x:c r="F115" s="28"/>
      <x:c r="G115" s="28"/>
      <x:c r="H115" s="22"/>
      <x:c r="I115" s="36" t="n">
        <x:f>IF(A115="",0,IF(AND(SUMIFS('10_방법론'!$N$6:$N$105,'10_방법론'!$A$6:$A$105,B115)=1,E115&gt;0,E115&lt;='01_설정'!$B$6,G115&lt;='01_설정'!$B$7),1,0))</x:f>
        <x:v>0</x:v>
      </x:c>
      <x:c r="J115" s="36" t="n">
        <x:f>IF(E115&gt;0,YEAR(E115),0)</x:f>
        <x:v>0</x:v>
      </x:c>
      <x:c r="K115" s="36" t="n">
        <x:f>IF(A115="",0,IF(COUNTIF('11_버전'!$A$6:$A$205,A115)&gt;1,1,0))</x:f>
        <x:v>0</x:v>
      </x:c>
    </x:row>
    <x:row r="116" ht="20" customHeight="1">
      <x:c r="A116" s="22"/>
      <x:c r="B116" s="22"/>
      <x:c r="C116" s="22"/>
      <x:c r="D116" s="22"/>
      <x:c r="E116" s="28"/>
      <x:c r="F116" s="28"/>
      <x:c r="G116" s="28"/>
      <x:c r="H116" s="22"/>
      <x:c r="I116" s="36" t="n">
        <x:f>IF(A116="",0,IF(AND(SUMIFS('10_방법론'!$N$6:$N$105,'10_방법론'!$A$6:$A$105,B116)=1,E116&gt;0,E116&lt;='01_설정'!$B$6,G116&lt;='01_설정'!$B$7),1,0))</x:f>
        <x:v>0</x:v>
      </x:c>
      <x:c r="J116" s="36" t="n">
        <x:f>IF(E116&gt;0,YEAR(E116),0)</x:f>
        <x:v>0</x:v>
      </x:c>
      <x:c r="K116" s="36" t="n">
        <x:f>IF(A116="",0,IF(COUNTIF('11_버전'!$A$6:$A$205,A116)&gt;1,1,0))</x:f>
        <x:v>0</x:v>
      </x:c>
    </x:row>
    <x:row r="117" ht="20" customHeight="1">
      <x:c r="A117" s="22"/>
      <x:c r="B117" s="22"/>
      <x:c r="C117" s="22"/>
      <x:c r="D117" s="22"/>
      <x:c r="E117" s="28"/>
      <x:c r="F117" s="28"/>
      <x:c r="G117" s="28"/>
      <x:c r="H117" s="22"/>
      <x:c r="I117" s="36" t="n">
        <x:f>IF(A117="",0,IF(AND(SUMIFS('10_방법론'!$N$6:$N$105,'10_방법론'!$A$6:$A$105,B117)=1,E117&gt;0,E117&lt;='01_설정'!$B$6,G117&lt;='01_설정'!$B$7),1,0))</x:f>
        <x:v>0</x:v>
      </x:c>
      <x:c r="J117" s="36" t="n">
        <x:f>IF(E117&gt;0,YEAR(E117),0)</x:f>
        <x:v>0</x:v>
      </x:c>
      <x:c r="K117" s="36" t="n">
        <x:f>IF(A117="",0,IF(COUNTIF('11_버전'!$A$6:$A$205,A117)&gt;1,1,0))</x:f>
        <x:v>0</x:v>
      </x:c>
    </x:row>
    <x:row r="118" ht="20" customHeight="1">
      <x:c r="A118" s="22"/>
      <x:c r="B118" s="22"/>
      <x:c r="C118" s="22"/>
      <x:c r="D118" s="22"/>
      <x:c r="E118" s="28"/>
      <x:c r="F118" s="28"/>
      <x:c r="G118" s="28"/>
      <x:c r="H118" s="22"/>
      <x:c r="I118" s="36" t="n">
        <x:f>IF(A118="",0,IF(AND(SUMIFS('10_방법론'!$N$6:$N$105,'10_방법론'!$A$6:$A$105,B118)=1,E118&gt;0,E118&lt;='01_설정'!$B$6,G118&lt;='01_설정'!$B$7),1,0))</x:f>
        <x:v>0</x:v>
      </x:c>
      <x:c r="J118" s="36" t="n">
        <x:f>IF(E118&gt;0,YEAR(E118),0)</x:f>
        <x:v>0</x:v>
      </x:c>
      <x:c r="K118" s="36" t="n">
        <x:f>IF(A118="",0,IF(COUNTIF('11_버전'!$A$6:$A$205,A118)&gt;1,1,0))</x:f>
        <x:v>0</x:v>
      </x:c>
    </x:row>
    <x:row r="119" ht="20" customHeight="1">
      <x:c r="A119" s="22"/>
      <x:c r="B119" s="22"/>
      <x:c r="C119" s="22"/>
      <x:c r="D119" s="22"/>
      <x:c r="E119" s="28"/>
      <x:c r="F119" s="28"/>
      <x:c r="G119" s="28"/>
      <x:c r="H119" s="22"/>
      <x:c r="I119" s="36" t="n">
        <x:f>IF(A119="",0,IF(AND(SUMIFS('10_방법론'!$N$6:$N$105,'10_방법론'!$A$6:$A$105,B119)=1,E119&gt;0,E119&lt;='01_설정'!$B$6,G119&lt;='01_설정'!$B$7),1,0))</x:f>
        <x:v>0</x:v>
      </x:c>
      <x:c r="J119" s="36" t="n">
        <x:f>IF(E119&gt;0,YEAR(E119),0)</x:f>
        <x:v>0</x:v>
      </x:c>
      <x:c r="K119" s="36" t="n">
        <x:f>IF(A119="",0,IF(COUNTIF('11_버전'!$A$6:$A$205,A119)&gt;1,1,0))</x:f>
        <x:v>0</x:v>
      </x:c>
    </x:row>
    <x:row r="120" ht="20" customHeight="1">
      <x:c r="A120" s="22"/>
      <x:c r="B120" s="22"/>
      <x:c r="C120" s="22"/>
      <x:c r="D120" s="22"/>
      <x:c r="E120" s="28"/>
      <x:c r="F120" s="28"/>
      <x:c r="G120" s="28"/>
      <x:c r="H120" s="22"/>
      <x:c r="I120" s="36" t="n">
        <x:f>IF(A120="",0,IF(AND(SUMIFS('10_방법론'!$N$6:$N$105,'10_방법론'!$A$6:$A$105,B120)=1,E120&gt;0,E120&lt;='01_설정'!$B$6,G120&lt;='01_설정'!$B$7),1,0))</x:f>
        <x:v>0</x:v>
      </x:c>
      <x:c r="J120" s="36" t="n">
        <x:f>IF(E120&gt;0,YEAR(E120),0)</x:f>
        <x:v>0</x:v>
      </x:c>
      <x:c r="K120" s="36" t="n">
        <x:f>IF(A120="",0,IF(COUNTIF('11_버전'!$A$6:$A$205,A120)&gt;1,1,0))</x:f>
        <x:v>0</x:v>
      </x:c>
    </x:row>
    <x:row r="121" ht="20" customHeight="1">
      <x:c r="A121" s="22"/>
      <x:c r="B121" s="22"/>
      <x:c r="C121" s="22"/>
      <x:c r="D121" s="22"/>
      <x:c r="E121" s="28"/>
      <x:c r="F121" s="28"/>
      <x:c r="G121" s="28"/>
      <x:c r="H121" s="22"/>
      <x:c r="I121" s="36" t="n">
        <x:f>IF(A121="",0,IF(AND(SUMIFS('10_방법론'!$N$6:$N$105,'10_방법론'!$A$6:$A$105,B121)=1,E121&gt;0,E121&lt;='01_설정'!$B$6,G121&lt;='01_설정'!$B$7),1,0))</x:f>
        <x:v>0</x:v>
      </x:c>
      <x:c r="J121" s="36" t="n">
        <x:f>IF(E121&gt;0,YEAR(E121),0)</x:f>
        <x:v>0</x:v>
      </x:c>
      <x:c r="K121" s="36" t="n">
        <x:f>IF(A121="",0,IF(COUNTIF('11_버전'!$A$6:$A$205,A121)&gt;1,1,0))</x:f>
        <x:v>0</x:v>
      </x:c>
    </x:row>
    <x:row r="122" ht="20" customHeight="1">
      <x:c r="A122" s="22"/>
      <x:c r="B122" s="22"/>
      <x:c r="C122" s="22"/>
      <x:c r="D122" s="22"/>
      <x:c r="E122" s="28"/>
      <x:c r="F122" s="28"/>
      <x:c r="G122" s="28"/>
      <x:c r="H122" s="22"/>
      <x:c r="I122" s="36" t="n">
        <x:f>IF(A122="",0,IF(AND(SUMIFS('10_방법론'!$N$6:$N$105,'10_방법론'!$A$6:$A$105,B122)=1,E122&gt;0,E122&lt;='01_설정'!$B$6,G122&lt;='01_설정'!$B$7),1,0))</x:f>
        <x:v>0</x:v>
      </x:c>
      <x:c r="J122" s="36" t="n">
        <x:f>IF(E122&gt;0,YEAR(E122),0)</x:f>
        <x:v>0</x:v>
      </x:c>
      <x:c r="K122" s="36" t="n">
        <x:f>IF(A122="",0,IF(COUNTIF('11_버전'!$A$6:$A$205,A122)&gt;1,1,0))</x:f>
        <x:v>0</x:v>
      </x:c>
    </x:row>
    <x:row r="123" ht="20" customHeight="1">
      <x:c r="A123" s="22"/>
      <x:c r="B123" s="22"/>
      <x:c r="C123" s="22"/>
      <x:c r="D123" s="22"/>
      <x:c r="E123" s="28"/>
      <x:c r="F123" s="28"/>
      <x:c r="G123" s="28"/>
      <x:c r="H123" s="22"/>
      <x:c r="I123" s="36" t="n">
        <x:f>IF(A123="",0,IF(AND(SUMIFS('10_방법론'!$N$6:$N$105,'10_방법론'!$A$6:$A$105,B123)=1,E123&gt;0,E123&lt;='01_설정'!$B$6,G123&lt;='01_설정'!$B$7),1,0))</x:f>
        <x:v>0</x:v>
      </x:c>
      <x:c r="J123" s="36" t="n">
        <x:f>IF(E123&gt;0,YEAR(E123),0)</x:f>
        <x:v>0</x:v>
      </x:c>
      <x:c r="K123" s="36" t="n">
        <x:f>IF(A123="",0,IF(COUNTIF('11_버전'!$A$6:$A$205,A123)&gt;1,1,0))</x:f>
        <x:v>0</x:v>
      </x:c>
    </x:row>
    <x:row r="124" ht="20" customHeight="1">
      <x:c r="A124" s="22"/>
      <x:c r="B124" s="22"/>
      <x:c r="C124" s="22"/>
      <x:c r="D124" s="22"/>
      <x:c r="E124" s="28"/>
      <x:c r="F124" s="28"/>
      <x:c r="G124" s="28"/>
      <x:c r="H124" s="22"/>
      <x:c r="I124" s="36" t="n">
        <x:f>IF(A124="",0,IF(AND(SUMIFS('10_방법론'!$N$6:$N$105,'10_방법론'!$A$6:$A$105,B124)=1,E124&gt;0,E124&lt;='01_설정'!$B$6,G124&lt;='01_설정'!$B$7),1,0))</x:f>
        <x:v>0</x:v>
      </x:c>
      <x:c r="J124" s="36" t="n">
        <x:f>IF(E124&gt;0,YEAR(E124),0)</x:f>
        <x:v>0</x:v>
      </x:c>
      <x:c r="K124" s="36" t="n">
        <x:f>IF(A124="",0,IF(COUNTIF('11_버전'!$A$6:$A$205,A124)&gt;1,1,0))</x:f>
        <x:v>0</x:v>
      </x:c>
    </x:row>
    <x:row r="125" ht="20" customHeight="1">
      <x:c r="A125" s="22"/>
      <x:c r="B125" s="22"/>
      <x:c r="C125" s="22"/>
      <x:c r="D125" s="22"/>
      <x:c r="E125" s="28"/>
      <x:c r="F125" s="28"/>
      <x:c r="G125" s="28"/>
      <x:c r="H125" s="22"/>
      <x:c r="I125" s="36" t="n">
        <x:f>IF(A125="",0,IF(AND(SUMIFS('10_방법론'!$N$6:$N$105,'10_방법론'!$A$6:$A$105,B125)=1,E125&gt;0,E125&lt;='01_설정'!$B$6,G125&lt;='01_설정'!$B$7),1,0))</x:f>
        <x:v>0</x:v>
      </x:c>
      <x:c r="J125" s="36" t="n">
        <x:f>IF(E125&gt;0,YEAR(E125),0)</x:f>
        <x:v>0</x:v>
      </x:c>
      <x:c r="K125" s="36" t="n">
        <x:f>IF(A125="",0,IF(COUNTIF('11_버전'!$A$6:$A$205,A125)&gt;1,1,0))</x:f>
        <x:v>0</x:v>
      </x:c>
    </x:row>
    <x:row r="126" ht="20" customHeight="1">
      <x:c r="A126" s="22"/>
      <x:c r="B126" s="22"/>
      <x:c r="C126" s="22"/>
      <x:c r="D126" s="22"/>
      <x:c r="E126" s="28"/>
      <x:c r="F126" s="28"/>
      <x:c r="G126" s="28"/>
      <x:c r="H126" s="22"/>
      <x:c r="I126" s="36" t="n">
        <x:f>IF(A126="",0,IF(AND(SUMIFS('10_방법론'!$N$6:$N$105,'10_방법론'!$A$6:$A$105,B126)=1,E126&gt;0,E126&lt;='01_설정'!$B$6,G126&lt;='01_설정'!$B$7),1,0))</x:f>
        <x:v>0</x:v>
      </x:c>
      <x:c r="J126" s="36" t="n">
        <x:f>IF(E126&gt;0,YEAR(E126),0)</x:f>
        <x:v>0</x:v>
      </x:c>
      <x:c r="K126" s="36" t="n">
        <x:f>IF(A126="",0,IF(COUNTIF('11_버전'!$A$6:$A$205,A126)&gt;1,1,0))</x:f>
        <x:v>0</x:v>
      </x:c>
    </x:row>
    <x:row r="127" ht="20" customHeight="1">
      <x:c r="A127" s="22"/>
      <x:c r="B127" s="22"/>
      <x:c r="C127" s="22"/>
      <x:c r="D127" s="22"/>
      <x:c r="E127" s="28"/>
      <x:c r="F127" s="28"/>
      <x:c r="G127" s="28"/>
      <x:c r="H127" s="22"/>
      <x:c r="I127" s="36" t="n">
        <x:f>IF(A127="",0,IF(AND(SUMIFS('10_방법론'!$N$6:$N$105,'10_방법론'!$A$6:$A$105,B127)=1,E127&gt;0,E127&lt;='01_설정'!$B$6,G127&lt;='01_설정'!$B$7),1,0))</x:f>
        <x:v>0</x:v>
      </x:c>
      <x:c r="J127" s="36" t="n">
        <x:f>IF(E127&gt;0,YEAR(E127),0)</x:f>
        <x:v>0</x:v>
      </x:c>
      <x:c r="K127" s="36" t="n">
        <x:f>IF(A127="",0,IF(COUNTIF('11_버전'!$A$6:$A$205,A127)&gt;1,1,0))</x:f>
        <x:v>0</x:v>
      </x:c>
    </x:row>
    <x:row r="128" ht="20" customHeight="1">
      <x:c r="A128" s="22"/>
      <x:c r="B128" s="22"/>
      <x:c r="C128" s="22"/>
      <x:c r="D128" s="22"/>
      <x:c r="E128" s="28"/>
      <x:c r="F128" s="28"/>
      <x:c r="G128" s="28"/>
      <x:c r="H128" s="22"/>
      <x:c r="I128" s="36" t="n">
        <x:f>IF(A128="",0,IF(AND(SUMIFS('10_방법론'!$N$6:$N$105,'10_방법론'!$A$6:$A$105,B128)=1,E128&gt;0,E128&lt;='01_설정'!$B$6,G128&lt;='01_설정'!$B$7),1,0))</x:f>
        <x:v>0</x:v>
      </x:c>
      <x:c r="J128" s="36" t="n">
        <x:f>IF(E128&gt;0,YEAR(E128),0)</x:f>
        <x:v>0</x:v>
      </x:c>
      <x:c r="K128" s="36" t="n">
        <x:f>IF(A128="",0,IF(COUNTIF('11_버전'!$A$6:$A$205,A128)&gt;1,1,0))</x:f>
        <x:v>0</x:v>
      </x:c>
    </x:row>
    <x:row r="129" ht="20" customHeight="1">
      <x:c r="A129" s="22"/>
      <x:c r="B129" s="22"/>
      <x:c r="C129" s="22"/>
      <x:c r="D129" s="22"/>
      <x:c r="E129" s="28"/>
      <x:c r="F129" s="28"/>
      <x:c r="G129" s="28"/>
      <x:c r="H129" s="22"/>
      <x:c r="I129" s="36" t="n">
        <x:f>IF(A129="",0,IF(AND(SUMIFS('10_방법론'!$N$6:$N$105,'10_방법론'!$A$6:$A$105,B129)=1,E129&gt;0,E129&lt;='01_설정'!$B$6,G129&lt;='01_설정'!$B$7),1,0))</x:f>
        <x:v>0</x:v>
      </x:c>
      <x:c r="J129" s="36" t="n">
        <x:f>IF(E129&gt;0,YEAR(E129),0)</x:f>
        <x:v>0</x:v>
      </x:c>
      <x:c r="K129" s="36" t="n">
        <x:f>IF(A129="",0,IF(COUNTIF('11_버전'!$A$6:$A$205,A129)&gt;1,1,0))</x:f>
        <x:v>0</x:v>
      </x:c>
    </x:row>
    <x:row r="130" ht="20" customHeight="1">
      <x:c r="A130" s="22"/>
      <x:c r="B130" s="22"/>
      <x:c r="C130" s="22"/>
      <x:c r="D130" s="22"/>
      <x:c r="E130" s="28"/>
      <x:c r="F130" s="28"/>
      <x:c r="G130" s="28"/>
      <x:c r="H130" s="22"/>
      <x:c r="I130" s="36" t="n">
        <x:f>IF(A130="",0,IF(AND(SUMIFS('10_방법론'!$N$6:$N$105,'10_방법론'!$A$6:$A$105,B130)=1,E130&gt;0,E130&lt;='01_설정'!$B$6,G130&lt;='01_설정'!$B$7),1,0))</x:f>
        <x:v>0</x:v>
      </x:c>
      <x:c r="J130" s="36" t="n">
        <x:f>IF(E130&gt;0,YEAR(E130),0)</x:f>
        <x:v>0</x:v>
      </x:c>
      <x:c r="K130" s="36" t="n">
        <x:f>IF(A130="",0,IF(COUNTIF('11_버전'!$A$6:$A$205,A130)&gt;1,1,0))</x:f>
        <x:v>0</x:v>
      </x:c>
    </x:row>
    <x:row r="131" ht="20" customHeight="1">
      <x:c r="A131" s="22"/>
      <x:c r="B131" s="22"/>
      <x:c r="C131" s="22"/>
      <x:c r="D131" s="22"/>
      <x:c r="E131" s="28"/>
      <x:c r="F131" s="28"/>
      <x:c r="G131" s="28"/>
      <x:c r="H131" s="22"/>
      <x:c r="I131" s="36" t="n">
        <x:f>IF(A131="",0,IF(AND(SUMIFS('10_방법론'!$N$6:$N$105,'10_방법론'!$A$6:$A$105,B131)=1,E131&gt;0,E131&lt;='01_설정'!$B$6,G131&lt;='01_설정'!$B$7),1,0))</x:f>
        <x:v>0</x:v>
      </x:c>
      <x:c r="J131" s="36" t="n">
        <x:f>IF(E131&gt;0,YEAR(E131),0)</x:f>
        <x:v>0</x:v>
      </x:c>
      <x:c r="K131" s="36" t="n">
        <x:f>IF(A131="",0,IF(COUNTIF('11_버전'!$A$6:$A$205,A131)&gt;1,1,0))</x:f>
        <x:v>0</x:v>
      </x:c>
    </x:row>
    <x:row r="132" ht="20" customHeight="1">
      <x:c r="A132" s="22"/>
      <x:c r="B132" s="22"/>
      <x:c r="C132" s="22"/>
      <x:c r="D132" s="22"/>
      <x:c r="E132" s="28"/>
      <x:c r="F132" s="28"/>
      <x:c r="G132" s="28"/>
      <x:c r="H132" s="22"/>
      <x:c r="I132" s="36" t="n">
        <x:f>IF(A132="",0,IF(AND(SUMIFS('10_방법론'!$N$6:$N$105,'10_방법론'!$A$6:$A$105,B132)=1,E132&gt;0,E132&lt;='01_설정'!$B$6,G132&lt;='01_설정'!$B$7),1,0))</x:f>
        <x:v>0</x:v>
      </x:c>
      <x:c r="J132" s="36" t="n">
        <x:f>IF(E132&gt;0,YEAR(E132),0)</x:f>
        <x:v>0</x:v>
      </x:c>
      <x:c r="K132" s="36" t="n">
        <x:f>IF(A132="",0,IF(COUNTIF('11_버전'!$A$6:$A$205,A132)&gt;1,1,0))</x:f>
        <x:v>0</x:v>
      </x:c>
    </x:row>
    <x:row r="133" ht="20" customHeight="1">
      <x:c r="A133" s="22"/>
      <x:c r="B133" s="22"/>
      <x:c r="C133" s="22"/>
      <x:c r="D133" s="22"/>
      <x:c r="E133" s="28"/>
      <x:c r="F133" s="28"/>
      <x:c r="G133" s="28"/>
      <x:c r="H133" s="22"/>
      <x:c r="I133" s="36" t="n">
        <x:f>IF(A133="",0,IF(AND(SUMIFS('10_방법론'!$N$6:$N$105,'10_방법론'!$A$6:$A$105,B133)=1,E133&gt;0,E133&lt;='01_설정'!$B$6,G133&lt;='01_설정'!$B$7),1,0))</x:f>
        <x:v>0</x:v>
      </x:c>
      <x:c r="J133" s="36" t="n">
        <x:f>IF(E133&gt;0,YEAR(E133),0)</x:f>
        <x:v>0</x:v>
      </x:c>
      <x:c r="K133" s="36" t="n">
        <x:f>IF(A133="",0,IF(COUNTIF('11_버전'!$A$6:$A$205,A133)&gt;1,1,0))</x:f>
        <x:v>0</x:v>
      </x:c>
    </x:row>
    <x:row r="134" ht="20" customHeight="1">
      <x:c r="A134" s="22"/>
      <x:c r="B134" s="22"/>
      <x:c r="C134" s="22"/>
      <x:c r="D134" s="22"/>
      <x:c r="E134" s="28"/>
      <x:c r="F134" s="28"/>
      <x:c r="G134" s="28"/>
      <x:c r="H134" s="22"/>
      <x:c r="I134" s="36" t="n">
        <x:f>IF(A134="",0,IF(AND(SUMIFS('10_방법론'!$N$6:$N$105,'10_방법론'!$A$6:$A$105,B134)=1,E134&gt;0,E134&lt;='01_설정'!$B$6,G134&lt;='01_설정'!$B$7),1,0))</x:f>
        <x:v>0</x:v>
      </x:c>
      <x:c r="J134" s="36" t="n">
        <x:f>IF(E134&gt;0,YEAR(E134),0)</x:f>
        <x:v>0</x:v>
      </x:c>
      <x:c r="K134" s="36" t="n">
        <x:f>IF(A134="",0,IF(COUNTIF('11_버전'!$A$6:$A$205,A134)&gt;1,1,0))</x:f>
        <x:v>0</x:v>
      </x:c>
    </x:row>
    <x:row r="135" ht="20" customHeight="1">
      <x:c r="A135" s="22"/>
      <x:c r="B135" s="22"/>
      <x:c r="C135" s="22"/>
      <x:c r="D135" s="22"/>
      <x:c r="E135" s="28"/>
      <x:c r="F135" s="28"/>
      <x:c r="G135" s="28"/>
      <x:c r="H135" s="22"/>
      <x:c r="I135" s="36" t="n">
        <x:f>IF(A135="",0,IF(AND(SUMIFS('10_방법론'!$N$6:$N$105,'10_방법론'!$A$6:$A$105,B135)=1,E135&gt;0,E135&lt;='01_설정'!$B$6,G135&lt;='01_설정'!$B$7),1,0))</x:f>
        <x:v>0</x:v>
      </x:c>
      <x:c r="J135" s="36" t="n">
        <x:f>IF(E135&gt;0,YEAR(E135),0)</x:f>
        <x:v>0</x:v>
      </x:c>
      <x:c r="K135" s="36" t="n">
        <x:f>IF(A135="",0,IF(COUNTIF('11_버전'!$A$6:$A$205,A135)&gt;1,1,0))</x:f>
        <x:v>0</x:v>
      </x:c>
    </x:row>
    <x:row r="136" ht="20" customHeight="1">
      <x:c r="A136" s="22"/>
      <x:c r="B136" s="22"/>
      <x:c r="C136" s="22"/>
      <x:c r="D136" s="22"/>
      <x:c r="E136" s="28"/>
      <x:c r="F136" s="28"/>
      <x:c r="G136" s="28"/>
      <x:c r="H136" s="22"/>
      <x:c r="I136" s="36" t="n">
        <x:f>IF(A136="",0,IF(AND(SUMIFS('10_방법론'!$N$6:$N$105,'10_방법론'!$A$6:$A$105,B136)=1,E136&gt;0,E136&lt;='01_설정'!$B$6,G136&lt;='01_설정'!$B$7),1,0))</x:f>
        <x:v>0</x:v>
      </x:c>
      <x:c r="J136" s="36" t="n">
        <x:f>IF(E136&gt;0,YEAR(E136),0)</x:f>
        <x:v>0</x:v>
      </x:c>
      <x:c r="K136" s="36" t="n">
        <x:f>IF(A136="",0,IF(COUNTIF('11_버전'!$A$6:$A$205,A136)&gt;1,1,0))</x:f>
        <x:v>0</x:v>
      </x:c>
    </x:row>
    <x:row r="137" ht="20" customHeight="1">
      <x:c r="A137" s="22"/>
      <x:c r="B137" s="22"/>
      <x:c r="C137" s="22"/>
      <x:c r="D137" s="22"/>
      <x:c r="E137" s="28"/>
      <x:c r="F137" s="28"/>
      <x:c r="G137" s="28"/>
      <x:c r="H137" s="22"/>
      <x:c r="I137" s="36" t="n">
        <x:f>IF(A137="",0,IF(AND(SUMIFS('10_방법론'!$N$6:$N$105,'10_방법론'!$A$6:$A$105,B137)=1,E137&gt;0,E137&lt;='01_설정'!$B$6,G137&lt;='01_설정'!$B$7),1,0))</x:f>
        <x:v>0</x:v>
      </x:c>
      <x:c r="J137" s="36" t="n">
        <x:f>IF(E137&gt;0,YEAR(E137),0)</x:f>
        <x:v>0</x:v>
      </x:c>
      <x:c r="K137" s="36" t="n">
        <x:f>IF(A137="",0,IF(COUNTIF('11_버전'!$A$6:$A$205,A137)&gt;1,1,0))</x:f>
        <x:v>0</x:v>
      </x:c>
    </x:row>
    <x:row r="138" ht="20" customHeight="1">
      <x:c r="A138" s="22"/>
      <x:c r="B138" s="22"/>
      <x:c r="C138" s="22"/>
      <x:c r="D138" s="22"/>
      <x:c r="E138" s="28"/>
      <x:c r="F138" s="28"/>
      <x:c r="G138" s="28"/>
      <x:c r="H138" s="22"/>
      <x:c r="I138" s="36" t="n">
        <x:f>IF(A138="",0,IF(AND(SUMIFS('10_방법론'!$N$6:$N$105,'10_방법론'!$A$6:$A$105,B138)=1,E138&gt;0,E138&lt;='01_설정'!$B$6,G138&lt;='01_설정'!$B$7),1,0))</x:f>
        <x:v>0</x:v>
      </x:c>
      <x:c r="J138" s="36" t="n">
        <x:f>IF(E138&gt;0,YEAR(E138),0)</x:f>
        <x:v>0</x:v>
      </x:c>
      <x:c r="K138" s="36" t="n">
        <x:f>IF(A138="",0,IF(COUNTIF('11_버전'!$A$6:$A$205,A138)&gt;1,1,0))</x:f>
        <x:v>0</x:v>
      </x:c>
    </x:row>
    <x:row r="139" ht="20" customHeight="1">
      <x:c r="A139" s="22"/>
      <x:c r="B139" s="22"/>
      <x:c r="C139" s="22"/>
      <x:c r="D139" s="22"/>
      <x:c r="E139" s="28"/>
      <x:c r="F139" s="28"/>
      <x:c r="G139" s="28"/>
      <x:c r="H139" s="22"/>
      <x:c r="I139" s="36" t="n">
        <x:f>IF(A139="",0,IF(AND(SUMIFS('10_방법론'!$N$6:$N$105,'10_방법론'!$A$6:$A$105,B139)=1,E139&gt;0,E139&lt;='01_설정'!$B$6,G139&lt;='01_설정'!$B$7),1,0))</x:f>
        <x:v>0</x:v>
      </x:c>
      <x:c r="J139" s="36" t="n">
        <x:f>IF(E139&gt;0,YEAR(E139),0)</x:f>
        <x:v>0</x:v>
      </x:c>
      <x:c r="K139" s="36" t="n">
        <x:f>IF(A139="",0,IF(COUNTIF('11_버전'!$A$6:$A$205,A139)&gt;1,1,0))</x:f>
        <x:v>0</x:v>
      </x:c>
    </x:row>
    <x:row r="140" ht="20" customHeight="1">
      <x:c r="A140" s="22"/>
      <x:c r="B140" s="22"/>
      <x:c r="C140" s="22"/>
      <x:c r="D140" s="22"/>
      <x:c r="E140" s="28"/>
      <x:c r="F140" s="28"/>
      <x:c r="G140" s="28"/>
      <x:c r="H140" s="22"/>
      <x:c r="I140" s="36" t="n">
        <x:f>IF(A140="",0,IF(AND(SUMIFS('10_방법론'!$N$6:$N$105,'10_방법론'!$A$6:$A$105,B140)=1,E140&gt;0,E140&lt;='01_설정'!$B$6,G140&lt;='01_설정'!$B$7),1,0))</x:f>
        <x:v>0</x:v>
      </x:c>
      <x:c r="J140" s="36" t="n">
        <x:f>IF(E140&gt;0,YEAR(E140),0)</x:f>
        <x:v>0</x:v>
      </x:c>
      <x:c r="K140" s="36" t="n">
        <x:f>IF(A140="",0,IF(COUNTIF('11_버전'!$A$6:$A$205,A140)&gt;1,1,0))</x:f>
        <x:v>0</x:v>
      </x:c>
    </x:row>
    <x:row r="141" ht="20" customHeight="1">
      <x:c r="A141" s="22"/>
      <x:c r="B141" s="22"/>
      <x:c r="C141" s="22"/>
      <x:c r="D141" s="22"/>
      <x:c r="E141" s="28"/>
      <x:c r="F141" s="28"/>
      <x:c r="G141" s="28"/>
      <x:c r="H141" s="22"/>
      <x:c r="I141" s="36" t="n">
        <x:f>IF(A141="",0,IF(AND(SUMIFS('10_방법론'!$N$6:$N$105,'10_방법론'!$A$6:$A$105,B141)=1,E141&gt;0,E141&lt;='01_설정'!$B$6,G141&lt;='01_설정'!$B$7),1,0))</x:f>
        <x:v>0</x:v>
      </x:c>
      <x:c r="J141" s="36" t="n">
        <x:f>IF(E141&gt;0,YEAR(E141),0)</x:f>
        <x:v>0</x:v>
      </x:c>
      <x:c r="K141" s="36" t="n">
        <x:f>IF(A141="",0,IF(COUNTIF('11_버전'!$A$6:$A$205,A141)&gt;1,1,0))</x:f>
        <x:v>0</x:v>
      </x:c>
    </x:row>
    <x:row r="142" ht="20" customHeight="1">
      <x:c r="A142" s="22"/>
      <x:c r="B142" s="22"/>
      <x:c r="C142" s="22"/>
      <x:c r="D142" s="22"/>
      <x:c r="E142" s="28"/>
      <x:c r="F142" s="28"/>
      <x:c r="G142" s="28"/>
      <x:c r="H142" s="22"/>
      <x:c r="I142" s="36" t="n">
        <x:f>IF(A142="",0,IF(AND(SUMIFS('10_방법론'!$N$6:$N$105,'10_방법론'!$A$6:$A$105,B142)=1,E142&gt;0,E142&lt;='01_설정'!$B$6,G142&lt;='01_설정'!$B$7),1,0))</x:f>
        <x:v>0</x:v>
      </x:c>
      <x:c r="J142" s="36" t="n">
        <x:f>IF(E142&gt;0,YEAR(E142),0)</x:f>
        <x:v>0</x:v>
      </x:c>
      <x:c r="K142" s="36" t="n">
        <x:f>IF(A142="",0,IF(COUNTIF('11_버전'!$A$6:$A$205,A142)&gt;1,1,0))</x:f>
        <x:v>0</x:v>
      </x:c>
    </x:row>
    <x:row r="143" ht="20" customHeight="1">
      <x:c r="A143" s="22"/>
      <x:c r="B143" s="22"/>
      <x:c r="C143" s="22"/>
      <x:c r="D143" s="22"/>
      <x:c r="E143" s="28"/>
      <x:c r="F143" s="28"/>
      <x:c r="G143" s="28"/>
      <x:c r="H143" s="22"/>
      <x:c r="I143" s="36" t="n">
        <x:f>IF(A143="",0,IF(AND(SUMIFS('10_방법론'!$N$6:$N$105,'10_방법론'!$A$6:$A$105,B143)=1,E143&gt;0,E143&lt;='01_설정'!$B$6,G143&lt;='01_설정'!$B$7),1,0))</x:f>
        <x:v>0</x:v>
      </x:c>
      <x:c r="J143" s="36" t="n">
        <x:f>IF(E143&gt;0,YEAR(E143),0)</x:f>
        <x:v>0</x:v>
      </x:c>
      <x:c r="K143" s="36" t="n">
        <x:f>IF(A143="",0,IF(COUNTIF('11_버전'!$A$6:$A$205,A143)&gt;1,1,0))</x:f>
        <x:v>0</x:v>
      </x:c>
    </x:row>
    <x:row r="144" ht="20" customHeight="1">
      <x:c r="A144" s="22"/>
      <x:c r="B144" s="22"/>
      <x:c r="C144" s="22"/>
      <x:c r="D144" s="22"/>
      <x:c r="E144" s="28"/>
      <x:c r="F144" s="28"/>
      <x:c r="G144" s="28"/>
      <x:c r="H144" s="22"/>
      <x:c r="I144" s="36" t="n">
        <x:f>IF(A144="",0,IF(AND(SUMIFS('10_방법론'!$N$6:$N$105,'10_방법론'!$A$6:$A$105,B144)=1,E144&gt;0,E144&lt;='01_설정'!$B$6,G144&lt;='01_설정'!$B$7),1,0))</x:f>
        <x:v>0</x:v>
      </x:c>
      <x:c r="J144" s="36" t="n">
        <x:f>IF(E144&gt;0,YEAR(E144),0)</x:f>
        <x:v>0</x:v>
      </x:c>
      <x:c r="K144" s="36" t="n">
        <x:f>IF(A144="",0,IF(COUNTIF('11_버전'!$A$6:$A$205,A144)&gt;1,1,0))</x:f>
        <x:v>0</x:v>
      </x:c>
    </x:row>
    <x:row r="145" ht="20" customHeight="1">
      <x:c r="A145" s="22"/>
      <x:c r="B145" s="22"/>
      <x:c r="C145" s="22"/>
      <x:c r="D145" s="22"/>
      <x:c r="E145" s="28"/>
      <x:c r="F145" s="28"/>
      <x:c r="G145" s="28"/>
      <x:c r="H145" s="22"/>
      <x:c r="I145" s="36" t="n">
        <x:f>IF(A145="",0,IF(AND(SUMIFS('10_방법론'!$N$6:$N$105,'10_방법론'!$A$6:$A$105,B145)=1,E145&gt;0,E145&lt;='01_설정'!$B$6,G145&lt;='01_설정'!$B$7),1,0))</x:f>
        <x:v>0</x:v>
      </x:c>
      <x:c r="J145" s="36" t="n">
        <x:f>IF(E145&gt;0,YEAR(E145),0)</x:f>
        <x:v>0</x:v>
      </x:c>
      <x:c r="K145" s="36" t="n">
        <x:f>IF(A145="",0,IF(COUNTIF('11_버전'!$A$6:$A$205,A145)&gt;1,1,0))</x:f>
        <x:v>0</x:v>
      </x:c>
    </x:row>
    <x:row r="146" ht="20" customHeight="1">
      <x:c r="A146" s="22"/>
      <x:c r="B146" s="22"/>
      <x:c r="C146" s="22"/>
      <x:c r="D146" s="22"/>
      <x:c r="E146" s="28"/>
      <x:c r="F146" s="28"/>
      <x:c r="G146" s="28"/>
      <x:c r="H146" s="22"/>
      <x:c r="I146" s="36" t="n">
        <x:f>IF(A146="",0,IF(AND(SUMIFS('10_방법론'!$N$6:$N$105,'10_방법론'!$A$6:$A$105,B146)=1,E146&gt;0,E146&lt;='01_설정'!$B$6,G146&lt;='01_설정'!$B$7),1,0))</x:f>
        <x:v>0</x:v>
      </x:c>
      <x:c r="J146" s="36" t="n">
        <x:f>IF(E146&gt;0,YEAR(E146),0)</x:f>
        <x:v>0</x:v>
      </x:c>
      <x:c r="K146" s="36" t="n">
        <x:f>IF(A146="",0,IF(COUNTIF('11_버전'!$A$6:$A$205,A146)&gt;1,1,0))</x:f>
        <x:v>0</x:v>
      </x:c>
    </x:row>
    <x:row r="147" ht="20" customHeight="1">
      <x:c r="A147" s="22"/>
      <x:c r="B147" s="22"/>
      <x:c r="C147" s="22"/>
      <x:c r="D147" s="22"/>
      <x:c r="E147" s="28"/>
      <x:c r="F147" s="28"/>
      <x:c r="G147" s="28"/>
      <x:c r="H147" s="22"/>
      <x:c r="I147" s="36" t="n">
        <x:f>IF(A147="",0,IF(AND(SUMIFS('10_방법론'!$N$6:$N$105,'10_방법론'!$A$6:$A$105,B147)=1,E147&gt;0,E147&lt;='01_설정'!$B$6,G147&lt;='01_설정'!$B$7),1,0))</x:f>
        <x:v>0</x:v>
      </x:c>
      <x:c r="J147" s="36" t="n">
        <x:f>IF(E147&gt;0,YEAR(E147),0)</x:f>
        <x:v>0</x:v>
      </x:c>
      <x:c r="K147" s="36" t="n">
        <x:f>IF(A147="",0,IF(COUNTIF('11_버전'!$A$6:$A$205,A147)&gt;1,1,0))</x:f>
        <x:v>0</x:v>
      </x:c>
    </x:row>
    <x:row r="148" ht="20" customHeight="1">
      <x:c r="A148" s="22"/>
      <x:c r="B148" s="22"/>
      <x:c r="C148" s="22"/>
      <x:c r="D148" s="22"/>
      <x:c r="E148" s="28"/>
      <x:c r="F148" s="28"/>
      <x:c r="G148" s="28"/>
      <x:c r="H148" s="22"/>
      <x:c r="I148" s="36" t="n">
        <x:f>IF(A148="",0,IF(AND(SUMIFS('10_방법론'!$N$6:$N$105,'10_방법론'!$A$6:$A$105,B148)=1,E148&gt;0,E148&lt;='01_설정'!$B$6,G148&lt;='01_설정'!$B$7),1,0))</x:f>
        <x:v>0</x:v>
      </x:c>
      <x:c r="J148" s="36" t="n">
        <x:f>IF(E148&gt;0,YEAR(E148),0)</x:f>
        <x:v>0</x:v>
      </x:c>
      <x:c r="K148" s="36" t="n">
        <x:f>IF(A148="",0,IF(COUNTIF('11_버전'!$A$6:$A$205,A148)&gt;1,1,0))</x:f>
        <x:v>0</x:v>
      </x:c>
    </x:row>
    <x:row r="149" ht="20" customHeight="1">
      <x:c r="A149" s="22"/>
      <x:c r="B149" s="22"/>
      <x:c r="C149" s="22"/>
      <x:c r="D149" s="22"/>
      <x:c r="E149" s="28"/>
      <x:c r="F149" s="28"/>
      <x:c r="G149" s="28"/>
      <x:c r="H149" s="22"/>
      <x:c r="I149" s="36" t="n">
        <x:f>IF(A149="",0,IF(AND(SUMIFS('10_방법론'!$N$6:$N$105,'10_방법론'!$A$6:$A$105,B149)=1,E149&gt;0,E149&lt;='01_설정'!$B$6,G149&lt;='01_설정'!$B$7),1,0))</x:f>
        <x:v>0</x:v>
      </x:c>
      <x:c r="J149" s="36" t="n">
        <x:f>IF(E149&gt;0,YEAR(E149),0)</x:f>
        <x:v>0</x:v>
      </x:c>
      <x:c r="K149" s="36" t="n">
        <x:f>IF(A149="",0,IF(COUNTIF('11_버전'!$A$6:$A$205,A149)&gt;1,1,0))</x:f>
        <x:v>0</x:v>
      </x:c>
    </x:row>
    <x:row r="150" ht="20" customHeight="1">
      <x:c r="A150" s="22"/>
      <x:c r="B150" s="22"/>
      <x:c r="C150" s="22"/>
      <x:c r="D150" s="22"/>
      <x:c r="E150" s="28"/>
      <x:c r="F150" s="28"/>
      <x:c r="G150" s="28"/>
      <x:c r="H150" s="22"/>
      <x:c r="I150" s="36" t="n">
        <x:f>IF(A150="",0,IF(AND(SUMIFS('10_방법론'!$N$6:$N$105,'10_방법론'!$A$6:$A$105,B150)=1,E150&gt;0,E150&lt;='01_설정'!$B$6,G150&lt;='01_설정'!$B$7),1,0))</x:f>
        <x:v>0</x:v>
      </x:c>
      <x:c r="J150" s="36" t="n">
        <x:f>IF(E150&gt;0,YEAR(E150),0)</x:f>
        <x:v>0</x:v>
      </x:c>
      <x:c r="K150" s="36" t="n">
        <x:f>IF(A150="",0,IF(COUNTIF('11_버전'!$A$6:$A$205,A150)&gt;1,1,0))</x:f>
        <x:v>0</x:v>
      </x:c>
    </x:row>
    <x:row r="151" ht="20" customHeight="1">
      <x:c r="A151" s="22"/>
      <x:c r="B151" s="22"/>
      <x:c r="C151" s="22"/>
      <x:c r="D151" s="22"/>
      <x:c r="E151" s="28"/>
      <x:c r="F151" s="28"/>
      <x:c r="G151" s="28"/>
      <x:c r="H151" s="22"/>
      <x:c r="I151" s="36" t="n">
        <x:f>IF(A151="",0,IF(AND(SUMIFS('10_방법론'!$N$6:$N$105,'10_방법론'!$A$6:$A$105,B151)=1,E151&gt;0,E151&lt;='01_설정'!$B$6,G151&lt;='01_설정'!$B$7),1,0))</x:f>
        <x:v>0</x:v>
      </x:c>
      <x:c r="J151" s="36" t="n">
        <x:f>IF(E151&gt;0,YEAR(E151),0)</x:f>
        <x:v>0</x:v>
      </x:c>
      <x:c r="K151" s="36" t="n">
        <x:f>IF(A151="",0,IF(COUNTIF('11_버전'!$A$6:$A$205,A151)&gt;1,1,0))</x:f>
        <x:v>0</x:v>
      </x:c>
    </x:row>
    <x:row r="152" ht="20" customHeight="1">
      <x:c r="A152" s="22"/>
      <x:c r="B152" s="22"/>
      <x:c r="C152" s="22"/>
      <x:c r="D152" s="22"/>
      <x:c r="E152" s="28"/>
      <x:c r="F152" s="28"/>
      <x:c r="G152" s="28"/>
      <x:c r="H152" s="22"/>
      <x:c r="I152" s="36" t="n">
        <x:f>IF(A152="",0,IF(AND(SUMIFS('10_방법론'!$N$6:$N$105,'10_방법론'!$A$6:$A$105,B152)=1,E152&gt;0,E152&lt;='01_설정'!$B$6,G152&lt;='01_설정'!$B$7),1,0))</x:f>
        <x:v>0</x:v>
      </x:c>
      <x:c r="J152" s="36" t="n">
        <x:f>IF(E152&gt;0,YEAR(E152),0)</x:f>
        <x:v>0</x:v>
      </x:c>
      <x:c r="K152" s="36" t="n">
        <x:f>IF(A152="",0,IF(COUNTIF('11_버전'!$A$6:$A$205,A152)&gt;1,1,0))</x:f>
        <x:v>0</x:v>
      </x:c>
    </x:row>
    <x:row r="153" ht="20" customHeight="1">
      <x:c r="A153" s="22"/>
      <x:c r="B153" s="22"/>
      <x:c r="C153" s="22"/>
      <x:c r="D153" s="22"/>
      <x:c r="E153" s="28"/>
      <x:c r="F153" s="28"/>
      <x:c r="G153" s="28"/>
      <x:c r="H153" s="22"/>
      <x:c r="I153" s="36" t="n">
        <x:f>IF(A153="",0,IF(AND(SUMIFS('10_방법론'!$N$6:$N$105,'10_방법론'!$A$6:$A$105,B153)=1,E153&gt;0,E153&lt;='01_설정'!$B$6,G153&lt;='01_설정'!$B$7),1,0))</x:f>
        <x:v>0</x:v>
      </x:c>
      <x:c r="J153" s="36" t="n">
        <x:f>IF(E153&gt;0,YEAR(E153),0)</x:f>
        <x:v>0</x:v>
      </x:c>
      <x:c r="K153" s="36" t="n">
        <x:f>IF(A153="",0,IF(COUNTIF('11_버전'!$A$6:$A$205,A153)&gt;1,1,0))</x:f>
        <x:v>0</x:v>
      </x:c>
    </x:row>
    <x:row r="154" ht="20" customHeight="1">
      <x:c r="A154" s="22"/>
      <x:c r="B154" s="22"/>
      <x:c r="C154" s="22"/>
      <x:c r="D154" s="22"/>
      <x:c r="E154" s="28"/>
      <x:c r="F154" s="28"/>
      <x:c r="G154" s="28"/>
      <x:c r="H154" s="22"/>
      <x:c r="I154" s="36" t="n">
        <x:f>IF(A154="",0,IF(AND(SUMIFS('10_방법론'!$N$6:$N$105,'10_방법론'!$A$6:$A$105,B154)=1,E154&gt;0,E154&lt;='01_설정'!$B$6,G154&lt;='01_설정'!$B$7),1,0))</x:f>
        <x:v>0</x:v>
      </x:c>
      <x:c r="J154" s="36" t="n">
        <x:f>IF(E154&gt;0,YEAR(E154),0)</x:f>
        <x:v>0</x:v>
      </x:c>
      <x:c r="K154" s="36" t="n">
        <x:f>IF(A154="",0,IF(COUNTIF('11_버전'!$A$6:$A$205,A154)&gt;1,1,0))</x:f>
        <x:v>0</x:v>
      </x:c>
    </x:row>
    <x:row r="155" ht="20" customHeight="1">
      <x:c r="A155" s="22"/>
      <x:c r="B155" s="22"/>
      <x:c r="C155" s="22"/>
      <x:c r="D155" s="22"/>
      <x:c r="E155" s="28"/>
      <x:c r="F155" s="28"/>
      <x:c r="G155" s="28"/>
      <x:c r="H155" s="22"/>
      <x:c r="I155" s="36" t="n">
        <x:f>IF(A155="",0,IF(AND(SUMIFS('10_방법론'!$N$6:$N$105,'10_방법론'!$A$6:$A$105,B155)=1,E155&gt;0,E155&lt;='01_설정'!$B$6,G155&lt;='01_설정'!$B$7),1,0))</x:f>
        <x:v>0</x:v>
      </x:c>
      <x:c r="J155" s="36" t="n">
        <x:f>IF(E155&gt;0,YEAR(E155),0)</x:f>
        <x:v>0</x:v>
      </x:c>
      <x:c r="K155" s="36" t="n">
        <x:f>IF(A155="",0,IF(COUNTIF('11_버전'!$A$6:$A$205,A155)&gt;1,1,0))</x:f>
        <x:v>0</x:v>
      </x:c>
    </x:row>
    <x:row r="156" ht="20" customHeight="1">
      <x:c r="A156" s="22"/>
      <x:c r="B156" s="22"/>
      <x:c r="C156" s="22"/>
      <x:c r="D156" s="22"/>
      <x:c r="E156" s="28"/>
      <x:c r="F156" s="28"/>
      <x:c r="G156" s="28"/>
      <x:c r="H156" s="22"/>
      <x:c r="I156" s="36" t="n">
        <x:f>IF(A156="",0,IF(AND(SUMIFS('10_방법론'!$N$6:$N$105,'10_방법론'!$A$6:$A$105,B156)=1,E156&gt;0,E156&lt;='01_설정'!$B$6,G156&lt;='01_설정'!$B$7),1,0))</x:f>
        <x:v>0</x:v>
      </x:c>
      <x:c r="J156" s="36" t="n">
        <x:f>IF(E156&gt;0,YEAR(E156),0)</x:f>
        <x:v>0</x:v>
      </x:c>
      <x:c r="K156" s="36" t="n">
        <x:f>IF(A156="",0,IF(COUNTIF('11_버전'!$A$6:$A$205,A156)&gt;1,1,0))</x:f>
        <x:v>0</x:v>
      </x:c>
    </x:row>
    <x:row r="157" ht="20" customHeight="1">
      <x:c r="A157" s="22"/>
      <x:c r="B157" s="22"/>
      <x:c r="C157" s="22"/>
      <x:c r="D157" s="22"/>
      <x:c r="E157" s="28"/>
      <x:c r="F157" s="28"/>
      <x:c r="G157" s="28"/>
      <x:c r="H157" s="22"/>
      <x:c r="I157" s="36" t="n">
        <x:f>IF(A157="",0,IF(AND(SUMIFS('10_방법론'!$N$6:$N$105,'10_방법론'!$A$6:$A$105,B157)=1,E157&gt;0,E157&lt;='01_설정'!$B$6,G157&lt;='01_설정'!$B$7),1,0))</x:f>
        <x:v>0</x:v>
      </x:c>
      <x:c r="J157" s="36" t="n">
        <x:f>IF(E157&gt;0,YEAR(E157),0)</x:f>
        <x:v>0</x:v>
      </x:c>
      <x:c r="K157" s="36" t="n">
        <x:f>IF(A157="",0,IF(COUNTIF('11_버전'!$A$6:$A$205,A157)&gt;1,1,0))</x:f>
        <x:v>0</x:v>
      </x:c>
    </x:row>
    <x:row r="158" ht="20" customHeight="1">
      <x:c r="A158" s="22"/>
      <x:c r="B158" s="22"/>
      <x:c r="C158" s="22"/>
      <x:c r="D158" s="22"/>
      <x:c r="E158" s="28"/>
      <x:c r="F158" s="28"/>
      <x:c r="G158" s="28"/>
      <x:c r="H158" s="22"/>
      <x:c r="I158" s="36" t="n">
        <x:f>IF(A158="",0,IF(AND(SUMIFS('10_방법론'!$N$6:$N$105,'10_방법론'!$A$6:$A$105,B158)=1,E158&gt;0,E158&lt;='01_설정'!$B$6,G158&lt;='01_설정'!$B$7),1,0))</x:f>
        <x:v>0</x:v>
      </x:c>
      <x:c r="J158" s="36" t="n">
        <x:f>IF(E158&gt;0,YEAR(E158),0)</x:f>
        <x:v>0</x:v>
      </x:c>
      <x:c r="K158" s="36" t="n">
        <x:f>IF(A158="",0,IF(COUNTIF('11_버전'!$A$6:$A$205,A158)&gt;1,1,0))</x:f>
        <x:v>0</x:v>
      </x:c>
    </x:row>
    <x:row r="159" ht="20" customHeight="1">
      <x:c r="A159" s="22"/>
      <x:c r="B159" s="22"/>
      <x:c r="C159" s="22"/>
      <x:c r="D159" s="22"/>
      <x:c r="E159" s="28"/>
      <x:c r="F159" s="28"/>
      <x:c r="G159" s="28"/>
      <x:c r="H159" s="22"/>
      <x:c r="I159" s="36" t="n">
        <x:f>IF(A159="",0,IF(AND(SUMIFS('10_방법론'!$N$6:$N$105,'10_방법론'!$A$6:$A$105,B159)=1,E159&gt;0,E159&lt;='01_설정'!$B$6,G159&lt;='01_설정'!$B$7),1,0))</x:f>
        <x:v>0</x:v>
      </x:c>
      <x:c r="J159" s="36" t="n">
        <x:f>IF(E159&gt;0,YEAR(E159),0)</x:f>
        <x:v>0</x:v>
      </x:c>
      <x:c r="K159" s="36" t="n">
        <x:f>IF(A159="",0,IF(COUNTIF('11_버전'!$A$6:$A$205,A159)&gt;1,1,0))</x:f>
        <x:v>0</x:v>
      </x:c>
    </x:row>
    <x:row r="160" ht="20" customHeight="1">
      <x:c r="A160" s="22"/>
      <x:c r="B160" s="22"/>
      <x:c r="C160" s="22"/>
      <x:c r="D160" s="22"/>
      <x:c r="E160" s="28"/>
      <x:c r="F160" s="28"/>
      <x:c r="G160" s="28"/>
      <x:c r="H160" s="22"/>
      <x:c r="I160" s="36" t="n">
        <x:f>IF(A160="",0,IF(AND(SUMIFS('10_방법론'!$N$6:$N$105,'10_방법론'!$A$6:$A$105,B160)=1,E160&gt;0,E160&lt;='01_설정'!$B$6,G160&lt;='01_설정'!$B$7),1,0))</x:f>
        <x:v>0</x:v>
      </x:c>
      <x:c r="J160" s="36" t="n">
        <x:f>IF(E160&gt;0,YEAR(E160),0)</x:f>
        <x:v>0</x:v>
      </x:c>
      <x:c r="K160" s="36" t="n">
        <x:f>IF(A160="",0,IF(COUNTIF('11_버전'!$A$6:$A$205,A160)&gt;1,1,0))</x:f>
        <x:v>0</x:v>
      </x:c>
    </x:row>
    <x:row r="161" ht="20" customHeight="1">
      <x:c r="A161" s="22"/>
      <x:c r="B161" s="22"/>
      <x:c r="C161" s="22"/>
      <x:c r="D161" s="22"/>
      <x:c r="E161" s="28"/>
      <x:c r="F161" s="28"/>
      <x:c r="G161" s="28"/>
      <x:c r="H161" s="22"/>
      <x:c r="I161" s="36" t="n">
        <x:f>IF(A161="",0,IF(AND(SUMIFS('10_방법론'!$N$6:$N$105,'10_방법론'!$A$6:$A$105,B161)=1,E161&gt;0,E161&lt;='01_설정'!$B$6,G161&lt;='01_설정'!$B$7),1,0))</x:f>
        <x:v>0</x:v>
      </x:c>
      <x:c r="J161" s="36" t="n">
        <x:f>IF(E161&gt;0,YEAR(E161),0)</x:f>
        <x:v>0</x:v>
      </x:c>
      <x:c r="K161" s="36" t="n">
        <x:f>IF(A161="",0,IF(COUNTIF('11_버전'!$A$6:$A$205,A161)&gt;1,1,0))</x:f>
        <x:v>0</x:v>
      </x:c>
    </x:row>
    <x:row r="162" ht="20" customHeight="1">
      <x:c r="A162" s="22"/>
      <x:c r="B162" s="22"/>
      <x:c r="C162" s="22"/>
      <x:c r="D162" s="22"/>
      <x:c r="E162" s="28"/>
      <x:c r="F162" s="28"/>
      <x:c r="G162" s="28"/>
      <x:c r="H162" s="22"/>
      <x:c r="I162" s="36" t="n">
        <x:f>IF(A162="",0,IF(AND(SUMIFS('10_방법론'!$N$6:$N$105,'10_방법론'!$A$6:$A$105,B162)=1,E162&gt;0,E162&lt;='01_설정'!$B$6,G162&lt;='01_설정'!$B$7),1,0))</x:f>
        <x:v>0</x:v>
      </x:c>
      <x:c r="J162" s="36" t="n">
        <x:f>IF(E162&gt;0,YEAR(E162),0)</x:f>
        <x:v>0</x:v>
      </x:c>
      <x:c r="K162" s="36" t="n">
        <x:f>IF(A162="",0,IF(COUNTIF('11_버전'!$A$6:$A$205,A162)&gt;1,1,0))</x:f>
        <x:v>0</x:v>
      </x:c>
    </x:row>
    <x:row r="163" ht="20" customHeight="1">
      <x:c r="A163" s="22"/>
      <x:c r="B163" s="22"/>
      <x:c r="C163" s="22"/>
      <x:c r="D163" s="22"/>
      <x:c r="E163" s="28"/>
      <x:c r="F163" s="28"/>
      <x:c r="G163" s="28"/>
      <x:c r="H163" s="22"/>
      <x:c r="I163" s="36" t="n">
        <x:f>IF(A163="",0,IF(AND(SUMIFS('10_방법론'!$N$6:$N$105,'10_방법론'!$A$6:$A$105,B163)=1,E163&gt;0,E163&lt;='01_설정'!$B$6,G163&lt;='01_설정'!$B$7),1,0))</x:f>
        <x:v>0</x:v>
      </x:c>
      <x:c r="J163" s="36" t="n">
        <x:f>IF(E163&gt;0,YEAR(E163),0)</x:f>
        <x:v>0</x:v>
      </x:c>
      <x:c r="K163" s="36" t="n">
        <x:f>IF(A163="",0,IF(COUNTIF('11_버전'!$A$6:$A$205,A163)&gt;1,1,0))</x:f>
        <x:v>0</x:v>
      </x:c>
    </x:row>
    <x:row r="164" ht="20" customHeight="1">
      <x:c r="A164" s="22"/>
      <x:c r="B164" s="22"/>
      <x:c r="C164" s="22"/>
      <x:c r="D164" s="22"/>
      <x:c r="E164" s="28"/>
      <x:c r="F164" s="28"/>
      <x:c r="G164" s="28"/>
      <x:c r="H164" s="22"/>
      <x:c r="I164" s="36" t="n">
        <x:f>IF(A164="",0,IF(AND(SUMIFS('10_방법론'!$N$6:$N$105,'10_방법론'!$A$6:$A$105,B164)=1,E164&gt;0,E164&lt;='01_설정'!$B$6,G164&lt;='01_설정'!$B$7),1,0))</x:f>
        <x:v>0</x:v>
      </x:c>
      <x:c r="J164" s="36" t="n">
        <x:f>IF(E164&gt;0,YEAR(E164),0)</x:f>
        <x:v>0</x:v>
      </x:c>
      <x:c r="K164" s="36" t="n">
        <x:f>IF(A164="",0,IF(COUNTIF('11_버전'!$A$6:$A$205,A164)&gt;1,1,0))</x:f>
        <x:v>0</x:v>
      </x:c>
    </x:row>
    <x:row r="165" ht="20" customHeight="1">
      <x:c r="A165" s="22"/>
      <x:c r="B165" s="22"/>
      <x:c r="C165" s="22"/>
      <x:c r="D165" s="22"/>
      <x:c r="E165" s="28"/>
      <x:c r="F165" s="28"/>
      <x:c r="G165" s="28"/>
      <x:c r="H165" s="22"/>
      <x:c r="I165" s="36" t="n">
        <x:f>IF(A165="",0,IF(AND(SUMIFS('10_방법론'!$N$6:$N$105,'10_방법론'!$A$6:$A$105,B165)=1,E165&gt;0,E165&lt;='01_설정'!$B$6,G165&lt;='01_설정'!$B$7),1,0))</x:f>
        <x:v>0</x:v>
      </x:c>
      <x:c r="J165" s="36" t="n">
        <x:f>IF(E165&gt;0,YEAR(E165),0)</x:f>
        <x:v>0</x:v>
      </x:c>
      <x:c r="K165" s="36" t="n">
        <x:f>IF(A165="",0,IF(COUNTIF('11_버전'!$A$6:$A$205,A165)&gt;1,1,0))</x:f>
        <x:v>0</x:v>
      </x:c>
    </x:row>
    <x:row r="166" ht="20" customHeight="1">
      <x:c r="A166" s="22"/>
      <x:c r="B166" s="22"/>
      <x:c r="C166" s="22"/>
      <x:c r="D166" s="22"/>
      <x:c r="E166" s="28"/>
      <x:c r="F166" s="28"/>
      <x:c r="G166" s="28"/>
      <x:c r="H166" s="22"/>
      <x:c r="I166" s="36" t="n">
        <x:f>IF(A166="",0,IF(AND(SUMIFS('10_방법론'!$N$6:$N$105,'10_방법론'!$A$6:$A$105,B166)=1,E166&gt;0,E166&lt;='01_설정'!$B$6,G166&lt;='01_설정'!$B$7),1,0))</x:f>
        <x:v>0</x:v>
      </x:c>
      <x:c r="J166" s="36" t="n">
        <x:f>IF(E166&gt;0,YEAR(E166),0)</x:f>
        <x:v>0</x:v>
      </x:c>
      <x:c r="K166" s="36" t="n">
        <x:f>IF(A166="",0,IF(COUNTIF('11_버전'!$A$6:$A$205,A166)&gt;1,1,0))</x:f>
        <x:v>0</x:v>
      </x:c>
    </x:row>
    <x:row r="167" ht="20" customHeight="1">
      <x:c r="A167" s="22"/>
      <x:c r="B167" s="22"/>
      <x:c r="C167" s="22"/>
      <x:c r="D167" s="22"/>
      <x:c r="E167" s="28"/>
      <x:c r="F167" s="28"/>
      <x:c r="G167" s="28"/>
      <x:c r="H167" s="22"/>
      <x:c r="I167" s="36" t="n">
        <x:f>IF(A167="",0,IF(AND(SUMIFS('10_방법론'!$N$6:$N$105,'10_방법론'!$A$6:$A$105,B167)=1,E167&gt;0,E167&lt;='01_설정'!$B$6,G167&lt;='01_설정'!$B$7),1,0))</x:f>
        <x:v>0</x:v>
      </x:c>
      <x:c r="J167" s="36" t="n">
        <x:f>IF(E167&gt;0,YEAR(E167),0)</x:f>
        <x:v>0</x:v>
      </x:c>
      <x:c r="K167" s="36" t="n">
        <x:f>IF(A167="",0,IF(COUNTIF('11_버전'!$A$6:$A$205,A167)&gt;1,1,0))</x:f>
        <x:v>0</x:v>
      </x:c>
    </x:row>
    <x:row r="168" ht="20" customHeight="1">
      <x:c r="A168" s="22"/>
      <x:c r="B168" s="22"/>
      <x:c r="C168" s="22"/>
      <x:c r="D168" s="22"/>
      <x:c r="E168" s="28"/>
      <x:c r="F168" s="28"/>
      <x:c r="G168" s="28"/>
      <x:c r="H168" s="22"/>
      <x:c r="I168" s="36" t="n">
        <x:f>IF(A168="",0,IF(AND(SUMIFS('10_방법론'!$N$6:$N$105,'10_방법론'!$A$6:$A$105,B168)=1,E168&gt;0,E168&lt;='01_설정'!$B$6,G168&lt;='01_설정'!$B$7),1,0))</x:f>
        <x:v>0</x:v>
      </x:c>
      <x:c r="J168" s="36" t="n">
        <x:f>IF(E168&gt;0,YEAR(E168),0)</x:f>
        <x:v>0</x:v>
      </x:c>
      <x:c r="K168" s="36" t="n">
        <x:f>IF(A168="",0,IF(COUNTIF('11_버전'!$A$6:$A$205,A168)&gt;1,1,0))</x:f>
        <x:v>0</x:v>
      </x:c>
    </x:row>
    <x:row r="169" ht="20" customHeight="1">
      <x:c r="A169" s="22"/>
      <x:c r="B169" s="22"/>
      <x:c r="C169" s="22"/>
      <x:c r="D169" s="22"/>
      <x:c r="E169" s="28"/>
      <x:c r="F169" s="28"/>
      <x:c r="G169" s="28"/>
      <x:c r="H169" s="22"/>
      <x:c r="I169" s="36" t="n">
        <x:f>IF(A169="",0,IF(AND(SUMIFS('10_방법론'!$N$6:$N$105,'10_방법론'!$A$6:$A$105,B169)=1,E169&gt;0,E169&lt;='01_설정'!$B$6,G169&lt;='01_설정'!$B$7),1,0))</x:f>
        <x:v>0</x:v>
      </x:c>
      <x:c r="J169" s="36" t="n">
        <x:f>IF(E169&gt;0,YEAR(E169),0)</x:f>
        <x:v>0</x:v>
      </x:c>
      <x:c r="K169" s="36" t="n">
        <x:f>IF(A169="",0,IF(COUNTIF('11_버전'!$A$6:$A$205,A169)&gt;1,1,0))</x:f>
        <x:v>0</x:v>
      </x:c>
    </x:row>
    <x:row r="170" ht="20" customHeight="1">
      <x:c r="A170" s="22"/>
      <x:c r="B170" s="22"/>
      <x:c r="C170" s="22"/>
      <x:c r="D170" s="22"/>
      <x:c r="E170" s="28"/>
      <x:c r="F170" s="28"/>
      <x:c r="G170" s="28"/>
      <x:c r="H170" s="22"/>
      <x:c r="I170" s="36" t="n">
        <x:f>IF(A170="",0,IF(AND(SUMIFS('10_방법론'!$N$6:$N$105,'10_방법론'!$A$6:$A$105,B170)=1,E170&gt;0,E170&lt;='01_설정'!$B$6,G170&lt;='01_설정'!$B$7),1,0))</x:f>
        <x:v>0</x:v>
      </x:c>
      <x:c r="J170" s="36" t="n">
        <x:f>IF(E170&gt;0,YEAR(E170),0)</x:f>
        <x:v>0</x:v>
      </x:c>
      <x:c r="K170" s="36" t="n">
        <x:f>IF(A170="",0,IF(COUNTIF('11_버전'!$A$6:$A$205,A170)&gt;1,1,0))</x:f>
        <x:v>0</x:v>
      </x:c>
    </x:row>
    <x:row r="171" ht="20" customHeight="1">
      <x:c r="A171" s="22"/>
      <x:c r="B171" s="22"/>
      <x:c r="C171" s="22"/>
      <x:c r="D171" s="22"/>
      <x:c r="E171" s="28"/>
      <x:c r="F171" s="28"/>
      <x:c r="G171" s="28"/>
      <x:c r="H171" s="22"/>
      <x:c r="I171" s="36" t="n">
        <x:f>IF(A171="",0,IF(AND(SUMIFS('10_방법론'!$N$6:$N$105,'10_방법론'!$A$6:$A$105,B171)=1,E171&gt;0,E171&lt;='01_설정'!$B$6,G171&lt;='01_설정'!$B$7),1,0))</x:f>
        <x:v>0</x:v>
      </x:c>
      <x:c r="J171" s="36" t="n">
        <x:f>IF(E171&gt;0,YEAR(E171),0)</x:f>
        <x:v>0</x:v>
      </x:c>
      <x:c r="K171" s="36" t="n">
        <x:f>IF(A171="",0,IF(COUNTIF('11_버전'!$A$6:$A$205,A171)&gt;1,1,0))</x:f>
        <x:v>0</x:v>
      </x:c>
    </x:row>
    <x:row r="172" ht="20" customHeight="1">
      <x:c r="A172" s="22"/>
      <x:c r="B172" s="22"/>
      <x:c r="C172" s="22"/>
      <x:c r="D172" s="22"/>
      <x:c r="E172" s="28"/>
      <x:c r="F172" s="28"/>
      <x:c r="G172" s="28"/>
      <x:c r="H172" s="22"/>
      <x:c r="I172" s="36" t="n">
        <x:f>IF(A172="",0,IF(AND(SUMIFS('10_방법론'!$N$6:$N$105,'10_방법론'!$A$6:$A$105,B172)=1,E172&gt;0,E172&lt;='01_설정'!$B$6,G172&lt;='01_설정'!$B$7),1,0))</x:f>
        <x:v>0</x:v>
      </x:c>
      <x:c r="J172" s="36" t="n">
        <x:f>IF(E172&gt;0,YEAR(E172),0)</x:f>
        <x:v>0</x:v>
      </x:c>
      <x:c r="K172" s="36" t="n">
        <x:f>IF(A172="",0,IF(COUNTIF('11_버전'!$A$6:$A$205,A172)&gt;1,1,0))</x:f>
        <x:v>0</x:v>
      </x:c>
    </x:row>
    <x:row r="173" ht="20" customHeight="1">
      <x:c r="A173" s="22"/>
      <x:c r="B173" s="22"/>
      <x:c r="C173" s="22"/>
      <x:c r="D173" s="22"/>
      <x:c r="E173" s="28"/>
      <x:c r="F173" s="28"/>
      <x:c r="G173" s="28"/>
      <x:c r="H173" s="22"/>
      <x:c r="I173" s="36" t="n">
        <x:f>IF(A173="",0,IF(AND(SUMIFS('10_방법론'!$N$6:$N$105,'10_방법론'!$A$6:$A$105,B173)=1,E173&gt;0,E173&lt;='01_설정'!$B$6,G173&lt;='01_설정'!$B$7),1,0))</x:f>
        <x:v>0</x:v>
      </x:c>
      <x:c r="J173" s="36" t="n">
        <x:f>IF(E173&gt;0,YEAR(E173),0)</x:f>
        <x:v>0</x:v>
      </x:c>
      <x:c r="K173" s="36" t="n">
        <x:f>IF(A173="",0,IF(COUNTIF('11_버전'!$A$6:$A$205,A173)&gt;1,1,0))</x:f>
        <x:v>0</x:v>
      </x:c>
    </x:row>
    <x:row r="174" ht="20" customHeight="1">
      <x:c r="A174" s="22"/>
      <x:c r="B174" s="22"/>
      <x:c r="C174" s="22"/>
      <x:c r="D174" s="22"/>
      <x:c r="E174" s="28"/>
      <x:c r="F174" s="28"/>
      <x:c r="G174" s="28"/>
      <x:c r="H174" s="22"/>
      <x:c r="I174" s="36" t="n">
        <x:f>IF(A174="",0,IF(AND(SUMIFS('10_방법론'!$N$6:$N$105,'10_방법론'!$A$6:$A$105,B174)=1,E174&gt;0,E174&lt;='01_설정'!$B$6,G174&lt;='01_설정'!$B$7),1,0))</x:f>
        <x:v>0</x:v>
      </x:c>
      <x:c r="J174" s="36" t="n">
        <x:f>IF(E174&gt;0,YEAR(E174),0)</x:f>
        <x:v>0</x:v>
      </x:c>
      <x:c r="K174" s="36" t="n">
        <x:f>IF(A174="",0,IF(COUNTIF('11_버전'!$A$6:$A$205,A174)&gt;1,1,0))</x:f>
        <x:v>0</x:v>
      </x:c>
    </x:row>
    <x:row r="175" ht="20" customHeight="1">
      <x:c r="A175" s="22"/>
      <x:c r="B175" s="22"/>
      <x:c r="C175" s="22"/>
      <x:c r="D175" s="22"/>
      <x:c r="E175" s="28"/>
      <x:c r="F175" s="28"/>
      <x:c r="G175" s="28"/>
      <x:c r="H175" s="22"/>
      <x:c r="I175" s="36" t="n">
        <x:f>IF(A175="",0,IF(AND(SUMIFS('10_방법론'!$N$6:$N$105,'10_방법론'!$A$6:$A$105,B175)=1,E175&gt;0,E175&lt;='01_설정'!$B$6,G175&lt;='01_설정'!$B$7),1,0))</x:f>
        <x:v>0</x:v>
      </x:c>
      <x:c r="J175" s="36" t="n">
        <x:f>IF(E175&gt;0,YEAR(E175),0)</x:f>
        <x:v>0</x:v>
      </x:c>
      <x:c r="K175" s="36" t="n">
        <x:f>IF(A175="",0,IF(COUNTIF('11_버전'!$A$6:$A$205,A175)&gt;1,1,0))</x:f>
        <x:v>0</x:v>
      </x:c>
    </x:row>
    <x:row r="176" ht="20" customHeight="1">
      <x:c r="A176" s="22"/>
      <x:c r="B176" s="22"/>
      <x:c r="C176" s="22"/>
      <x:c r="D176" s="22"/>
      <x:c r="E176" s="28"/>
      <x:c r="F176" s="28"/>
      <x:c r="G176" s="28"/>
      <x:c r="H176" s="22"/>
      <x:c r="I176" s="36" t="n">
        <x:f>IF(A176="",0,IF(AND(SUMIFS('10_방법론'!$N$6:$N$105,'10_방법론'!$A$6:$A$105,B176)=1,E176&gt;0,E176&lt;='01_설정'!$B$6,G176&lt;='01_설정'!$B$7),1,0))</x:f>
        <x:v>0</x:v>
      </x:c>
      <x:c r="J176" s="36" t="n">
        <x:f>IF(E176&gt;0,YEAR(E176),0)</x:f>
        <x:v>0</x:v>
      </x:c>
      <x:c r="K176" s="36" t="n">
        <x:f>IF(A176="",0,IF(COUNTIF('11_버전'!$A$6:$A$205,A176)&gt;1,1,0))</x:f>
        <x:v>0</x:v>
      </x:c>
    </x:row>
    <x:row r="177" ht="20" customHeight="1">
      <x:c r="A177" s="22"/>
      <x:c r="B177" s="22"/>
      <x:c r="C177" s="22"/>
      <x:c r="D177" s="22"/>
      <x:c r="E177" s="28"/>
      <x:c r="F177" s="28"/>
      <x:c r="G177" s="28"/>
      <x:c r="H177" s="22"/>
      <x:c r="I177" s="36" t="n">
        <x:f>IF(A177="",0,IF(AND(SUMIFS('10_방법론'!$N$6:$N$105,'10_방법론'!$A$6:$A$105,B177)=1,E177&gt;0,E177&lt;='01_설정'!$B$6,G177&lt;='01_설정'!$B$7),1,0))</x:f>
        <x:v>0</x:v>
      </x:c>
      <x:c r="J177" s="36" t="n">
        <x:f>IF(E177&gt;0,YEAR(E177),0)</x:f>
        <x:v>0</x:v>
      </x:c>
      <x:c r="K177" s="36" t="n">
        <x:f>IF(A177="",0,IF(COUNTIF('11_버전'!$A$6:$A$205,A177)&gt;1,1,0))</x:f>
        <x:v>0</x:v>
      </x:c>
    </x:row>
    <x:row r="178" ht="20" customHeight="1">
      <x:c r="A178" s="22"/>
      <x:c r="B178" s="22"/>
      <x:c r="C178" s="22"/>
      <x:c r="D178" s="22"/>
      <x:c r="E178" s="28"/>
      <x:c r="F178" s="28"/>
      <x:c r="G178" s="28"/>
      <x:c r="H178" s="22"/>
      <x:c r="I178" s="36" t="n">
        <x:f>IF(A178="",0,IF(AND(SUMIFS('10_방법론'!$N$6:$N$105,'10_방법론'!$A$6:$A$105,B178)=1,E178&gt;0,E178&lt;='01_설정'!$B$6,G178&lt;='01_설정'!$B$7),1,0))</x:f>
        <x:v>0</x:v>
      </x:c>
      <x:c r="J178" s="36" t="n">
        <x:f>IF(E178&gt;0,YEAR(E178),0)</x:f>
        <x:v>0</x:v>
      </x:c>
      <x:c r="K178" s="36" t="n">
        <x:f>IF(A178="",0,IF(COUNTIF('11_버전'!$A$6:$A$205,A178)&gt;1,1,0))</x:f>
        <x:v>0</x:v>
      </x:c>
    </x:row>
    <x:row r="179" ht="20" customHeight="1">
      <x:c r="A179" s="22"/>
      <x:c r="B179" s="22"/>
      <x:c r="C179" s="22"/>
      <x:c r="D179" s="22"/>
      <x:c r="E179" s="28"/>
      <x:c r="F179" s="28"/>
      <x:c r="G179" s="28"/>
      <x:c r="H179" s="22"/>
      <x:c r="I179" s="36" t="n">
        <x:f>IF(A179="",0,IF(AND(SUMIFS('10_방법론'!$N$6:$N$105,'10_방법론'!$A$6:$A$105,B179)=1,E179&gt;0,E179&lt;='01_설정'!$B$6,G179&lt;='01_설정'!$B$7),1,0))</x:f>
        <x:v>0</x:v>
      </x:c>
      <x:c r="J179" s="36" t="n">
        <x:f>IF(E179&gt;0,YEAR(E179),0)</x:f>
        <x:v>0</x:v>
      </x:c>
      <x:c r="K179" s="36" t="n">
        <x:f>IF(A179="",0,IF(COUNTIF('11_버전'!$A$6:$A$205,A179)&gt;1,1,0))</x:f>
        <x:v>0</x:v>
      </x:c>
    </x:row>
    <x:row r="180" ht="20" customHeight="1">
      <x:c r="A180" s="22"/>
      <x:c r="B180" s="22"/>
      <x:c r="C180" s="22"/>
      <x:c r="D180" s="22"/>
      <x:c r="E180" s="28"/>
      <x:c r="F180" s="28"/>
      <x:c r="G180" s="28"/>
      <x:c r="H180" s="22"/>
      <x:c r="I180" s="36" t="n">
        <x:f>IF(A180="",0,IF(AND(SUMIFS('10_방법론'!$N$6:$N$105,'10_방법론'!$A$6:$A$105,B180)=1,E180&gt;0,E180&lt;='01_설정'!$B$6,G180&lt;='01_설정'!$B$7),1,0))</x:f>
        <x:v>0</x:v>
      </x:c>
      <x:c r="J180" s="36" t="n">
        <x:f>IF(E180&gt;0,YEAR(E180),0)</x:f>
        <x:v>0</x:v>
      </x:c>
      <x:c r="K180" s="36" t="n">
        <x:f>IF(A180="",0,IF(COUNTIF('11_버전'!$A$6:$A$205,A180)&gt;1,1,0))</x:f>
        <x:v>0</x:v>
      </x:c>
    </x:row>
    <x:row r="181" ht="20" customHeight="1">
      <x:c r="A181" s="22"/>
      <x:c r="B181" s="22"/>
      <x:c r="C181" s="22"/>
      <x:c r="D181" s="22"/>
      <x:c r="E181" s="28"/>
      <x:c r="F181" s="28"/>
      <x:c r="G181" s="28"/>
      <x:c r="H181" s="22"/>
      <x:c r="I181" s="36" t="n">
        <x:f>IF(A181="",0,IF(AND(SUMIFS('10_방법론'!$N$6:$N$105,'10_방법론'!$A$6:$A$105,B181)=1,E181&gt;0,E181&lt;='01_설정'!$B$6,G181&lt;='01_설정'!$B$7),1,0))</x:f>
        <x:v>0</x:v>
      </x:c>
      <x:c r="J181" s="36" t="n">
        <x:f>IF(E181&gt;0,YEAR(E181),0)</x:f>
        <x:v>0</x:v>
      </x:c>
      <x:c r="K181" s="36" t="n">
        <x:f>IF(A181="",0,IF(COUNTIF('11_버전'!$A$6:$A$205,A181)&gt;1,1,0))</x:f>
        <x:v>0</x:v>
      </x:c>
    </x:row>
    <x:row r="182" ht="20" customHeight="1">
      <x:c r="A182" s="22"/>
      <x:c r="B182" s="22"/>
      <x:c r="C182" s="22"/>
      <x:c r="D182" s="22"/>
      <x:c r="E182" s="28"/>
      <x:c r="F182" s="28"/>
      <x:c r="G182" s="28"/>
      <x:c r="H182" s="22"/>
      <x:c r="I182" s="36" t="n">
        <x:f>IF(A182="",0,IF(AND(SUMIFS('10_방법론'!$N$6:$N$105,'10_방법론'!$A$6:$A$105,B182)=1,E182&gt;0,E182&lt;='01_설정'!$B$6,G182&lt;='01_설정'!$B$7),1,0))</x:f>
        <x:v>0</x:v>
      </x:c>
      <x:c r="J182" s="36" t="n">
        <x:f>IF(E182&gt;0,YEAR(E182),0)</x:f>
        <x:v>0</x:v>
      </x:c>
      <x:c r="K182" s="36" t="n">
        <x:f>IF(A182="",0,IF(COUNTIF('11_버전'!$A$6:$A$205,A182)&gt;1,1,0))</x:f>
        <x:v>0</x:v>
      </x:c>
    </x:row>
    <x:row r="183" ht="20" customHeight="1">
      <x:c r="A183" s="22"/>
      <x:c r="B183" s="22"/>
      <x:c r="C183" s="22"/>
      <x:c r="D183" s="22"/>
      <x:c r="E183" s="28"/>
      <x:c r="F183" s="28"/>
      <x:c r="G183" s="28"/>
      <x:c r="H183" s="22"/>
      <x:c r="I183" s="36" t="n">
        <x:f>IF(A183="",0,IF(AND(SUMIFS('10_방법론'!$N$6:$N$105,'10_방법론'!$A$6:$A$105,B183)=1,E183&gt;0,E183&lt;='01_설정'!$B$6,G183&lt;='01_설정'!$B$7),1,0))</x:f>
        <x:v>0</x:v>
      </x:c>
      <x:c r="J183" s="36" t="n">
        <x:f>IF(E183&gt;0,YEAR(E183),0)</x:f>
        <x:v>0</x:v>
      </x:c>
      <x:c r="K183" s="36" t="n">
        <x:f>IF(A183="",0,IF(COUNTIF('11_버전'!$A$6:$A$205,A183)&gt;1,1,0))</x:f>
        <x:v>0</x:v>
      </x:c>
    </x:row>
    <x:row r="184" ht="20" customHeight="1">
      <x:c r="A184" s="22"/>
      <x:c r="B184" s="22"/>
      <x:c r="C184" s="22"/>
      <x:c r="D184" s="22"/>
      <x:c r="E184" s="28"/>
      <x:c r="F184" s="28"/>
      <x:c r="G184" s="28"/>
      <x:c r="H184" s="22"/>
      <x:c r="I184" s="36" t="n">
        <x:f>IF(A184="",0,IF(AND(SUMIFS('10_방법론'!$N$6:$N$105,'10_방법론'!$A$6:$A$105,B184)=1,E184&gt;0,E184&lt;='01_설정'!$B$6,G184&lt;='01_설정'!$B$7),1,0))</x:f>
        <x:v>0</x:v>
      </x:c>
      <x:c r="J184" s="36" t="n">
        <x:f>IF(E184&gt;0,YEAR(E184),0)</x:f>
        <x:v>0</x:v>
      </x:c>
      <x:c r="K184" s="36" t="n">
        <x:f>IF(A184="",0,IF(COUNTIF('11_버전'!$A$6:$A$205,A184)&gt;1,1,0))</x:f>
        <x:v>0</x:v>
      </x:c>
    </x:row>
    <x:row r="185" ht="20" customHeight="1">
      <x:c r="A185" s="22"/>
      <x:c r="B185" s="22"/>
      <x:c r="C185" s="22"/>
      <x:c r="D185" s="22"/>
      <x:c r="E185" s="28"/>
      <x:c r="F185" s="28"/>
      <x:c r="G185" s="28"/>
      <x:c r="H185" s="22"/>
      <x:c r="I185" s="36" t="n">
        <x:f>IF(A185="",0,IF(AND(SUMIFS('10_방법론'!$N$6:$N$105,'10_방법론'!$A$6:$A$105,B185)=1,E185&gt;0,E185&lt;='01_설정'!$B$6,G185&lt;='01_설정'!$B$7),1,0))</x:f>
        <x:v>0</x:v>
      </x:c>
      <x:c r="J185" s="36" t="n">
        <x:f>IF(E185&gt;0,YEAR(E185),0)</x:f>
        <x:v>0</x:v>
      </x:c>
      <x:c r="K185" s="36" t="n">
        <x:f>IF(A185="",0,IF(COUNTIF('11_버전'!$A$6:$A$205,A185)&gt;1,1,0))</x:f>
        <x:v>0</x:v>
      </x:c>
    </x:row>
    <x:row r="186" ht="20" customHeight="1">
      <x:c r="A186" s="22"/>
      <x:c r="B186" s="22"/>
      <x:c r="C186" s="22"/>
      <x:c r="D186" s="22"/>
      <x:c r="E186" s="28"/>
      <x:c r="F186" s="28"/>
      <x:c r="G186" s="28"/>
      <x:c r="H186" s="22"/>
      <x:c r="I186" s="36" t="n">
        <x:f>IF(A186="",0,IF(AND(SUMIFS('10_방법론'!$N$6:$N$105,'10_방법론'!$A$6:$A$105,B186)=1,E186&gt;0,E186&lt;='01_설정'!$B$6,G186&lt;='01_설정'!$B$7),1,0))</x:f>
        <x:v>0</x:v>
      </x:c>
      <x:c r="J186" s="36" t="n">
        <x:f>IF(E186&gt;0,YEAR(E186),0)</x:f>
        <x:v>0</x:v>
      </x:c>
      <x:c r="K186" s="36" t="n">
        <x:f>IF(A186="",0,IF(COUNTIF('11_버전'!$A$6:$A$205,A186)&gt;1,1,0))</x:f>
        <x:v>0</x:v>
      </x:c>
    </x:row>
    <x:row r="187" ht="20" customHeight="1">
      <x:c r="A187" s="22"/>
      <x:c r="B187" s="22"/>
      <x:c r="C187" s="22"/>
      <x:c r="D187" s="22"/>
      <x:c r="E187" s="28"/>
      <x:c r="F187" s="28"/>
      <x:c r="G187" s="28"/>
      <x:c r="H187" s="22"/>
      <x:c r="I187" s="36" t="n">
        <x:f>IF(A187="",0,IF(AND(SUMIFS('10_방법론'!$N$6:$N$105,'10_방법론'!$A$6:$A$105,B187)=1,E187&gt;0,E187&lt;='01_설정'!$B$6,G187&lt;='01_설정'!$B$7),1,0))</x:f>
        <x:v>0</x:v>
      </x:c>
      <x:c r="J187" s="36" t="n">
        <x:f>IF(E187&gt;0,YEAR(E187),0)</x:f>
        <x:v>0</x:v>
      </x:c>
      <x:c r="K187" s="36" t="n">
        <x:f>IF(A187="",0,IF(COUNTIF('11_버전'!$A$6:$A$205,A187)&gt;1,1,0))</x:f>
        <x:v>0</x:v>
      </x:c>
    </x:row>
    <x:row r="188" ht="20" customHeight="1">
      <x:c r="A188" s="22"/>
      <x:c r="B188" s="22"/>
      <x:c r="C188" s="22"/>
      <x:c r="D188" s="22"/>
      <x:c r="E188" s="28"/>
      <x:c r="F188" s="28"/>
      <x:c r="G188" s="28"/>
      <x:c r="H188" s="22"/>
      <x:c r="I188" s="36" t="n">
        <x:f>IF(A188="",0,IF(AND(SUMIFS('10_방법론'!$N$6:$N$105,'10_방법론'!$A$6:$A$105,B188)=1,E188&gt;0,E188&lt;='01_설정'!$B$6,G188&lt;='01_설정'!$B$7),1,0))</x:f>
        <x:v>0</x:v>
      </x:c>
      <x:c r="J188" s="36" t="n">
        <x:f>IF(E188&gt;0,YEAR(E188),0)</x:f>
        <x:v>0</x:v>
      </x:c>
      <x:c r="K188" s="36" t="n">
        <x:f>IF(A188="",0,IF(COUNTIF('11_버전'!$A$6:$A$205,A188)&gt;1,1,0))</x:f>
        <x:v>0</x:v>
      </x:c>
    </x:row>
    <x:row r="189" ht="20" customHeight="1">
      <x:c r="A189" s="22"/>
      <x:c r="B189" s="22"/>
      <x:c r="C189" s="22"/>
      <x:c r="D189" s="22"/>
      <x:c r="E189" s="28"/>
      <x:c r="F189" s="28"/>
      <x:c r="G189" s="28"/>
      <x:c r="H189" s="22"/>
      <x:c r="I189" s="36" t="n">
        <x:f>IF(A189="",0,IF(AND(SUMIFS('10_방법론'!$N$6:$N$105,'10_방법론'!$A$6:$A$105,B189)=1,E189&gt;0,E189&lt;='01_설정'!$B$6,G189&lt;='01_설정'!$B$7),1,0))</x:f>
        <x:v>0</x:v>
      </x:c>
      <x:c r="J189" s="36" t="n">
        <x:f>IF(E189&gt;0,YEAR(E189),0)</x:f>
        <x:v>0</x:v>
      </x:c>
      <x:c r="K189" s="36" t="n">
        <x:f>IF(A189="",0,IF(COUNTIF('11_버전'!$A$6:$A$205,A189)&gt;1,1,0))</x:f>
        <x:v>0</x:v>
      </x:c>
    </x:row>
    <x:row r="190" ht="20" customHeight="1">
      <x:c r="A190" s="22"/>
      <x:c r="B190" s="22"/>
      <x:c r="C190" s="22"/>
      <x:c r="D190" s="22"/>
      <x:c r="E190" s="28"/>
      <x:c r="F190" s="28"/>
      <x:c r="G190" s="28"/>
      <x:c r="H190" s="22"/>
      <x:c r="I190" s="36" t="n">
        <x:f>IF(A190="",0,IF(AND(SUMIFS('10_방법론'!$N$6:$N$105,'10_방법론'!$A$6:$A$105,B190)=1,E190&gt;0,E190&lt;='01_설정'!$B$6,G190&lt;='01_설정'!$B$7),1,0))</x:f>
        <x:v>0</x:v>
      </x:c>
      <x:c r="J190" s="36" t="n">
        <x:f>IF(E190&gt;0,YEAR(E190),0)</x:f>
        <x:v>0</x:v>
      </x:c>
      <x:c r="K190" s="36" t="n">
        <x:f>IF(A190="",0,IF(COUNTIF('11_버전'!$A$6:$A$205,A190)&gt;1,1,0))</x:f>
        <x:v>0</x:v>
      </x:c>
    </x:row>
    <x:row r="191" ht="20" customHeight="1">
      <x:c r="A191" s="22"/>
      <x:c r="B191" s="22"/>
      <x:c r="C191" s="22"/>
      <x:c r="D191" s="22"/>
      <x:c r="E191" s="28"/>
      <x:c r="F191" s="28"/>
      <x:c r="G191" s="28"/>
      <x:c r="H191" s="22"/>
      <x:c r="I191" s="36" t="n">
        <x:f>IF(A191="",0,IF(AND(SUMIFS('10_방법론'!$N$6:$N$105,'10_방법론'!$A$6:$A$105,B191)=1,E191&gt;0,E191&lt;='01_설정'!$B$6,G191&lt;='01_설정'!$B$7),1,0))</x:f>
        <x:v>0</x:v>
      </x:c>
      <x:c r="J191" s="36" t="n">
        <x:f>IF(E191&gt;0,YEAR(E191),0)</x:f>
        <x:v>0</x:v>
      </x:c>
      <x:c r="K191" s="36" t="n">
        <x:f>IF(A191="",0,IF(COUNTIF('11_버전'!$A$6:$A$205,A191)&gt;1,1,0))</x:f>
        <x:v>0</x:v>
      </x:c>
    </x:row>
    <x:row r="192" ht="20" customHeight="1">
      <x:c r="A192" s="22"/>
      <x:c r="B192" s="22"/>
      <x:c r="C192" s="22"/>
      <x:c r="D192" s="22"/>
      <x:c r="E192" s="28"/>
      <x:c r="F192" s="28"/>
      <x:c r="G192" s="28"/>
      <x:c r="H192" s="22"/>
      <x:c r="I192" s="36" t="n">
        <x:f>IF(A192="",0,IF(AND(SUMIFS('10_방법론'!$N$6:$N$105,'10_방법론'!$A$6:$A$105,B192)=1,E192&gt;0,E192&lt;='01_설정'!$B$6,G192&lt;='01_설정'!$B$7),1,0))</x:f>
        <x:v>0</x:v>
      </x:c>
      <x:c r="J192" s="36" t="n">
        <x:f>IF(E192&gt;0,YEAR(E192),0)</x:f>
        <x:v>0</x:v>
      </x:c>
      <x:c r="K192" s="36" t="n">
        <x:f>IF(A192="",0,IF(COUNTIF('11_버전'!$A$6:$A$205,A192)&gt;1,1,0))</x:f>
        <x:v>0</x:v>
      </x:c>
    </x:row>
    <x:row r="193" ht="20" customHeight="1">
      <x:c r="A193" s="22"/>
      <x:c r="B193" s="22"/>
      <x:c r="C193" s="22"/>
      <x:c r="D193" s="22"/>
      <x:c r="E193" s="28"/>
      <x:c r="F193" s="28"/>
      <x:c r="G193" s="28"/>
      <x:c r="H193" s="22"/>
      <x:c r="I193" s="36" t="n">
        <x:f>IF(A193="",0,IF(AND(SUMIFS('10_방법론'!$N$6:$N$105,'10_방법론'!$A$6:$A$105,B193)=1,E193&gt;0,E193&lt;='01_설정'!$B$6,G193&lt;='01_설정'!$B$7),1,0))</x:f>
        <x:v>0</x:v>
      </x:c>
      <x:c r="J193" s="36" t="n">
        <x:f>IF(E193&gt;0,YEAR(E193),0)</x:f>
        <x:v>0</x:v>
      </x:c>
      <x:c r="K193" s="36" t="n">
        <x:f>IF(A193="",0,IF(COUNTIF('11_버전'!$A$6:$A$205,A193)&gt;1,1,0))</x:f>
        <x:v>0</x:v>
      </x:c>
    </x:row>
    <x:row r="194" ht="20" customHeight="1">
      <x:c r="A194" s="22"/>
      <x:c r="B194" s="22"/>
      <x:c r="C194" s="22"/>
      <x:c r="D194" s="22"/>
      <x:c r="E194" s="28"/>
      <x:c r="F194" s="28"/>
      <x:c r="G194" s="28"/>
      <x:c r="H194" s="22"/>
      <x:c r="I194" s="36" t="n">
        <x:f>IF(A194="",0,IF(AND(SUMIFS('10_방법론'!$N$6:$N$105,'10_방법론'!$A$6:$A$105,B194)=1,E194&gt;0,E194&lt;='01_설정'!$B$6,G194&lt;='01_설정'!$B$7),1,0))</x:f>
        <x:v>0</x:v>
      </x:c>
      <x:c r="J194" s="36" t="n">
        <x:f>IF(E194&gt;0,YEAR(E194),0)</x:f>
        <x:v>0</x:v>
      </x:c>
      <x:c r="K194" s="36" t="n">
        <x:f>IF(A194="",0,IF(COUNTIF('11_버전'!$A$6:$A$205,A194)&gt;1,1,0))</x:f>
        <x:v>0</x:v>
      </x:c>
    </x:row>
    <x:row r="195" ht="20" customHeight="1">
      <x:c r="A195" s="22"/>
      <x:c r="B195" s="22"/>
      <x:c r="C195" s="22"/>
      <x:c r="D195" s="22"/>
      <x:c r="E195" s="28"/>
      <x:c r="F195" s="28"/>
      <x:c r="G195" s="28"/>
      <x:c r="H195" s="22"/>
      <x:c r="I195" s="36" t="n">
        <x:f>IF(A195="",0,IF(AND(SUMIFS('10_방법론'!$N$6:$N$105,'10_방법론'!$A$6:$A$105,B195)=1,E195&gt;0,E195&lt;='01_설정'!$B$6,G195&lt;='01_설정'!$B$7),1,0))</x:f>
        <x:v>0</x:v>
      </x:c>
      <x:c r="J195" s="36" t="n">
        <x:f>IF(E195&gt;0,YEAR(E195),0)</x:f>
        <x:v>0</x:v>
      </x:c>
      <x:c r="K195" s="36" t="n">
        <x:f>IF(A195="",0,IF(COUNTIF('11_버전'!$A$6:$A$205,A195)&gt;1,1,0))</x:f>
        <x:v>0</x:v>
      </x:c>
    </x:row>
    <x:row r="196" ht="20" customHeight="1">
      <x:c r="A196" s="22"/>
      <x:c r="B196" s="22"/>
      <x:c r="C196" s="22"/>
      <x:c r="D196" s="22"/>
      <x:c r="E196" s="28"/>
      <x:c r="F196" s="28"/>
      <x:c r="G196" s="28"/>
      <x:c r="H196" s="22"/>
      <x:c r="I196" s="36" t="n">
        <x:f>IF(A196="",0,IF(AND(SUMIFS('10_방법론'!$N$6:$N$105,'10_방법론'!$A$6:$A$105,B196)=1,E196&gt;0,E196&lt;='01_설정'!$B$6,G196&lt;='01_설정'!$B$7),1,0))</x:f>
        <x:v>0</x:v>
      </x:c>
      <x:c r="J196" s="36" t="n">
        <x:f>IF(E196&gt;0,YEAR(E196),0)</x:f>
        <x:v>0</x:v>
      </x:c>
      <x:c r="K196" s="36" t="n">
        <x:f>IF(A196="",0,IF(COUNTIF('11_버전'!$A$6:$A$205,A196)&gt;1,1,0))</x:f>
        <x:v>0</x:v>
      </x:c>
    </x:row>
    <x:row r="197" ht="20" customHeight="1">
      <x:c r="A197" s="22"/>
      <x:c r="B197" s="22"/>
      <x:c r="C197" s="22"/>
      <x:c r="D197" s="22"/>
      <x:c r="E197" s="28"/>
      <x:c r="F197" s="28"/>
      <x:c r="G197" s="28"/>
      <x:c r="H197" s="22"/>
      <x:c r="I197" s="36" t="n">
        <x:f>IF(A197="",0,IF(AND(SUMIFS('10_방법론'!$N$6:$N$105,'10_방법론'!$A$6:$A$105,B197)=1,E197&gt;0,E197&lt;='01_설정'!$B$6,G197&lt;='01_설정'!$B$7),1,0))</x:f>
        <x:v>0</x:v>
      </x:c>
      <x:c r="J197" s="36" t="n">
        <x:f>IF(E197&gt;0,YEAR(E197),0)</x:f>
        <x:v>0</x:v>
      </x:c>
      <x:c r="K197" s="36" t="n">
        <x:f>IF(A197="",0,IF(COUNTIF('11_버전'!$A$6:$A$205,A197)&gt;1,1,0))</x:f>
        <x:v>0</x:v>
      </x:c>
    </x:row>
    <x:row r="198" ht="20" customHeight="1">
      <x:c r="A198" s="22"/>
      <x:c r="B198" s="22"/>
      <x:c r="C198" s="22"/>
      <x:c r="D198" s="22"/>
      <x:c r="E198" s="28"/>
      <x:c r="F198" s="28"/>
      <x:c r="G198" s="28"/>
      <x:c r="H198" s="22"/>
      <x:c r="I198" s="36" t="n">
        <x:f>IF(A198="",0,IF(AND(SUMIFS('10_방법론'!$N$6:$N$105,'10_방법론'!$A$6:$A$105,B198)=1,E198&gt;0,E198&lt;='01_설정'!$B$6,G198&lt;='01_설정'!$B$7),1,0))</x:f>
        <x:v>0</x:v>
      </x:c>
      <x:c r="J198" s="36" t="n">
        <x:f>IF(E198&gt;0,YEAR(E198),0)</x:f>
        <x:v>0</x:v>
      </x:c>
      <x:c r="K198" s="36" t="n">
        <x:f>IF(A198="",0,IF(COUNTIF('11_버전'!$A$6:$A$205,A198)&gt;1,1,0))</x:f>
        <x:v>0</x:v>
      </x:c>
    </x:row>
    <x:row r="199" ht="20" customHeight="1">
      <x:c r="A199" s="22"/>
      <x:c r="B199" s="22"/>
      <x:c r="C199" s="22"/>
      <x:c r="D199" s="22"/>
      <x:c r="E199" s="28"/>
      <x:c r="F199" s="28"/>
      <x:c r="G199" s="28"/>
      <x:c r="H199" s="22"/>
      <x:c r="I199" s="36" t="n">
        <x:f>IF(A199="",0,IF(AND(SUMIFS('10_방법론'!$N$6:$N$105,'10_방법론'!$A$6:$A$105,B199)=1,E199&gt;0,E199&lt;='01_설정'!$B$6,G199&lt;='01_설정'!$B$7),1,0))</x:f>
        <x:v>0</x:v>
      </x:c>
      <x:c r="J199" s="36" t="n">
        <x:f>IF(E199&gt;0,YEAR(E199),0)</x:f>
        <x:v>0</x:v>
      </x:c>
      <x:c r="K199" s="36" t="n">
        <x:f>IF(A199="",0,IF(COUNTIF('11_버전'!$A$6:$A$205,A199)&gt;1,1,0))</x:f>
        <x:v>0</x:v>
      </x:c>
    </x:row>
    <x:row r="200" ht="20" customHeight="1">
      <x:c r="A200" s="22"/>
      <x:c r="B200" s="22"/>
      <x:c r="C200" s="22"/>
      <x:c r="D200" s="22"/>
      <x:c r="E200" s="28"/>
      <x:c r="F200" s="28"/>
      <x:c r="G200" s="28"/>
      <x:c r="H200" s="22"/>
      <x:c r="I200" s="36" t="n">
        <x:f>IF(A200="",0,IF(AND(SUMIFS('10_방법론'!$N$6:$N$105,'10_방법론'!$A$6:$A$105,B200)=1,E200&gt;0,E200&lt;='01_설정'!$B$6,G200&lt;='01_설정'!$B$7),1,0))</x:f>
        <x:v>0</x:v>
      </x:c>
      <x:c r="J200" s="36" t="n">
        <x:f>IF(E200&gt;0,YEAR(E200),0)</x:f>
        <x:v>0</x:v>
      </x:c>
      <x:c r="K200" s="36" t="n">
        <x:f>IF(A200="",0,IF(COUNTIF('11_버전'!$A$6:$A$205,A200)&gt;1,1,0))</x:f>
        <x:v>0</x:v>
      </x:c>
    </x:row>
    <x:row r="201" ht="20" customHeight="1">
      <x:c r="A201" s="22"/>
      <x:c r="B201" s="22"/>
      <x:c r="C201" s="22"/>
      <x:c r="D201" s="22"/>
      <x:c r="E201" s="28"/>
      <x:c r="F201" s="28"/>
      <x:c r="G201" s="28"/>
      <x:c r="H201" s="22"/>
      <x:c r="I201" s="36" t="n">
        <x:f>IF(A201="",0,IF(AND(SUMIFS('10_방법론'!$N$6:$N$105,'10_방법론'!$A$6:$A$105,B201)=1,E201&gt;0,E201&lt;='01_설정'!$B$6,G201&lt;='01_설정'!$B$7),1,0))</x:f>
        <x:v>0</x:v>
      </x:c>
      <x:c r="J201" s="36" t="n">
        <x:f>IF(E201&gt;0,YEAR(E201),0)</x:f>
        <x:v>0</x:v>
      </x:c>
      <x:c r="K201" s="36" t="n">
        <x:f>IF(A201="",0,IF(COUNTIF('11_버전'!$A$6:$A$205,A201)&gt;1,1,0))</x:f>
        <x:v>0</x:v>
      </x:c>
    </x:row>
    <x:row r="202" ht="20" customHeight="1">
      <x:c r="A202" s="22"/>
      <x:c r="B202" s="22"/>
      <x:c r="C202" s="22"/>
      <x:c r="D202" s="22"/>
      <x:c r="E202" s="28"/>
      <x:c r="F202" s="28"/>
      <x:c r="G202" s="28"/>
      <x:c r="H202" s="22"/>
      <x:c r="I202" s="36" t="n">
        <x:f>IF(A202="",0,IF(AND(SUMIFS('10_방법론'!$N$6:$N$105,'10_방법론'!$A$6:$A$105,B202)=1,E202&gt;0,E202&lt;='01_설정'!$B$6,G202&lt;='01_설정'!$B$7),1,0))</x:f>
        <x:v>0</x:v>
      </x:c>
      <x:c r="J202" s="36" t="n">
        <x:f>IF(E202&gt;0,YEAR(E202),0)</x:f>
        <x:v>0</x:v>
      </x:c>
      <x:c r="K202" s="36" t="n">
        <x:f>IF(A202="",0,IF(COUNTIF('11_버전'!$A$6:$A$205,A202)&gt;1,1,0))</x:f>
        <x:v>0</x:v>
      </x:c>
    </x:row>
    <x:row r="203" ht="20" customHeight="1">
      <x:c r="A203" s="22"/>
      <x:c r="B203" s="22"/>
      <x:c r="C203" s="22"/>
      <x:c r="D203" s="22"/>
      <x:c r="E203" s="28"/>
      <x:c r="F203" s="28"/>
      <x:c r="G203" s="28"/>
      <x:c r="H203" s="22"/>
      <x:c r="I203" s="36" t="n">
        <x:f>IF(A203="",0,IF(AND(SUMIFS('10_방법론'!$N$6:$N$105,'10_방법론'!$A$6:$A$105,B203)=1,E203&gt;0,E203&lt;='01_설정'!$B$6,G203&lt;='01_설정'!$B$7),1,0))</x:f>
        <x:v>0</x:v>
      </x:c>
      <x:c r="J203" s="36" t="n">
        <x:f>IF(E203&gt;0,YEAR(E203),0)</x:f>
        <x:v>0</x:v>
      </x:c>
      <x:c r="K203" s="36" t="n">
        <x:f>IF(A203="",0,IF(COUNTIF('11_버전'!$A$6:$A$205,A203)&gt;1,1,0))</x:f>
        <x:v>0</x:v>
      </x:c>
    </x:row>
    <x:row r="204" ht="20" customHeight="1">
      <x:c r="A204" s="22"/>
      <x:c r="B204" s="22"/>
      <x:c r="C204" s="22"/>
      <x:c r="D204" s="22"/>
      <x:c r="E204" s="28"/>
      <x:c r="F204" s="28"/>
      <x:c r="G204" s="28"/>
      <x:c r="H204" s="22"/>
      <x:c r="I204" s="36" t="n">
        <x:f>IF(A204="",0,IF(AND(SUMIFS('10_방법론'!$N$6:$N$105,'10_방법론'!$A$6:$A$105,B204)=1,E204&gt;0,E204&lt;='01_설정'!$B$6,G204&lt;='01_설정'!$B$7),1,0))</x:f>
        <x:v>0</x:v>
      </x:c>
      <x:c r="J204" s="36" t="n">
        <x:f>IF(E204&gt;0,YEAR(E204),0)</x:f>
        <x:v>0</x:v>
      </x:c>
      <x:c r="K204" s="36" t="n">
        <x:f>IF(A204="",0,IF(COUNTIF('11_버전'!$A$6:$A$205,A204)&gt;1,1,0))</x:f>
        <x:v>0</x:v>
      </x:c>
    </x:row>
    <x:row r="205" ht="20" customHeight="1">
      <x:c r="A205" s="22"/>
      <x:c r="B205" s="22"/>
      <x:c r="C205" s="22"/>
      <x:c r="D205" s="22"/>
      <x:c r="E205" s="28"/>
      <x:c r="F205" s="28"/>
      <x:c r="G205" s="28"/>
      <x:c r="H205" s="22"/>
      <x:c r="I205" s="36" t="n">
        <x:f>IF(A205="",0,IF(AND(SUMIFS('10_방법론'!$N$6:$N$105,'10_방법론'!$A$6:$A$105,B205)=1,E205&gt;0,E205&lt;='01_설정'!$B$6,G205&lt;='01_설정'!$B$7),1,0))</x:f>
        <x:v>0</x:v>
      </x:c>
      <x:c r="J205" s="36" t="n">
        <x:f>IF(E205&gt;0,YEAR(E205),0)</x:f>
        <x:v>0</x:v>
      </x:c>
      <x:c r="K205" s="36" t="n">
        <x:f>IF(A205="",0,IF(COUNTIF('11_버전'!$A$6:$A$205,A205)&gt;1,1,0))</x:f>
        <x:v>0</x:v>
      </x:c>
    </x:row>
  </x:sheetData>
  <x:mergeCells>
    <x:mergeCell ref="A1:K1"/>
    <x:mergeCell ref="A2:K3"/>
  </x:mergeCells>
  <x:dataValidations count="1">
    <x:dataValidation type="list" sqref="D6:D205">
      <x:formula1>"new,revision"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30f39580204139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 ht="32" customHeight="1">
      <x:c r="A1" s="7" t="str">
        <x:v>applications | 입력 원장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</x:row>
    <x:row r="2" ht="21" customHeight="1">
      <x:c r="A2" s="15" t="str">
        <x:v>5행 영문 헤더·파란 글씨 열=JSON 교환 입력. 오른쪽 회색 계산열 수정 금지. 새 자료는 준비된 빈 행에 입력; 용량 초과 시 수식 범위 확장 필요.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0" customHeight="1">
      <x:c r="A5" s="33" t="str">
        <x:v>id</x:v>
      </x:c>
      <x:c r="B5" s="33" t="str">
        <x:v>methodology_id</x:v>
      </x:c>
      <x:c r="C5" s="33" t="str">
        <x:v>title</x:v>
      </x:c>
      <x:c r="D5" s="33" t="str">
        <x:v>type</x:v>
      </x:c>
      <x:c r="E5" s="33" t="str">
        <x:v>scope</x:v>
      </x:c>
      <x:c r="F5" s="33" t="str">
        <x:v>submitted_on</x:v>
      </x:c>
      <x:c r="G5" s="33" t="str">
        <x:v>recorded_on</x:v>
      </x:c>
      <x:c r="H5" s="33" t="str">
        <x:v>owner</x:v>
      </x:c>
      <x:c r="I5" s="33" t="str">
        <x:v>source_id</x:v>
      </x:c>
      <x:c r="J5" s="33" t="str">
        <x:v>public_allowed</x:v>
      </x:c>
      <x:c r="K5" s="38" t="str">
        <x:v>집계범위 포함</x:v>
      </x:c>
      <x:c r="L5" s="38" t="str">
        <x:v>신청 집계 포함</x:v>
      </x:c>
      <x:c r="M5" s="38" t="str">
        <x:v>최신이력 키</x:v>
      </x:c>
      <x:c r="N5" s="38" t="str">
        <x:v>현재단계 코드</x:v>
      </x:c>
      <x:c r="O5" s="38" t="str">
        <x:v>현재단계</x:v>
      </x:c>
      <x:c r="P5" s="38" t="str">
        <x:v>단계 진입일</x:v>
      </x:c>
      <x:c r="Q5" s="38" t="str">
        <x:v>단계 경과일</x:v>
      </x:c>
      <x:c r="R5" s="38" t="str">
        <x:v>보완 대기</x:v>
      </x:c>
      <x:c r="S5" s="38" t="str">
        <x:v>검토 중</x:v>
      </x:c>
      <x:c r="T5" s="38" t="str">
        <x:v>관리기준 초과</x:v>
      </x:c>
      <x:c r="U5" s="38" t="str">
        <x:v>승인등록대기</x:v>
      </x:c>
      <x:c r="V5" s="38" t="str">
        <x:v>완료 처리일수</x:v>
      </x:c>
      <x:c r="W5" s="38" t="str">
        <x:v>다음 조치</x:v>
      </x:c>
      <x:c r="X5" s="38" t="str">
        <x:v>ID 중복</x:v>
      </x:c>
    </x:row>
    <x:row r="6" ht="20" customHeight="1">
      <x:c r="A6" s="22" t="str">
        <x:v>DEMO-A001</x:v>
      </x:c>
      <x:c r="B6" s="22" t="str">
        <x:v>DEMO-M001</x:v>
      </x:c>
      <x:c r="C6" s="26" t="str">
        <x:v>[예시] 검토 안건 01</x:v>
      </x:c>
      <x:c r="D6" s="22" t="str">
        <x:v>revision</x:v>
      </x:c>
      <x:c r="E6" s="22" t="str">
        <x:v>industry</x:v>
      </x:c>
      <x:c r="F6" s="28" t="n">
        <x:v>46204</x:v>
      </x:c>
      <x:c r="G6" s="28" t="n">
        <x:v>46204</x:v>
      </x:c>
      <x:c r="H6" s="22" t="str">
        <x:v>예시 담당 2</x:v>
      </x:c>
      <x:c r="I6" s="22" t="str">
        <x:v>DEMO-INTERNAL</x:v>
      </x:c>
      <x:c r="J6" s="30" t="b">
        <x:v>0</x:v>
      </x:c>
      <x:c r="K6" s="12" t="n">
        <x:f>IF(A6="",0,IF('01_설정'!$B$8="all",1,IF('01_설정'!$B$8="industry_transition",IF(OR(E6="industry",E6="transition"),1,0),IF(E6='01_설정'!$B$8,1,0))))</x:f>
        <x:v>1</x:v>
      </x:c>
      <x:c r="L6" s="12" t="n">
        <x:f>IF(A6="",0,IF(AND(K6=1,F6&lt;='01_설정'!$B$6,G6&lt;='01_설정'!$B$7),1,0))</x:f>
        <x:v>1</x:v>
      </x:c>
      <x:c r="M6" s="12" t="n">
        <x:f>IF(A6="",0,_xlfn.MAXIFS('13_검토이력'!$P$6:$P$305,'13_검토이력'!$B$6:$B$305,A6,'13_검토이력'!$O$6:$O$305,1))</x:f>
        <x:v>4626600003</x:v>
      </x:c>
      <x:c r="N6" s="12" t="n">
        <x:f>IF(A6="",9,IF(M6=0,9,SUMIFS('13_검토이력'!$N$6:$N$305,'13_검토이력'!$P$6:$P$305,M6)))</x:f>
        <x:v>2</x:v>
      </x:c>
      <x:c r="O6" s="12" t="str">
        <x:f>IF(A6="","",INDEX('17_코드북'!$B$6:$B$15,N6+1))</x:f>
        <x:v>관장기관 검토</x:v>
      </x:c>
      <x:c r="P6" s="40" t="n">
        <x:f>IF(A6="",0,_xlfn.MAXIFS('13_검토이력'!$D$6:$D$305,'13_검토이력'!$B$6:$B$305,A6,'13_검토이력'!$O$6:$O$305,1,'13_검토이력'!$Q$6:$Q$305,1))</x:f>
        <x:v>46208</x:v>
      </x:c>
      <x:c r="Q6" s="12" t="n">
        <x:f>IF(OR(L6=0,P6=0),"",'01_설정'!$B$6-P6)</x:f>
        <x:v>100</x:v>
      </x:c>
      <x:c r="R6" s="12" t="n">
        <x:f>IF(OR(L6=0,M6=0),0,SUMIFS('13_검토이력'!$S$6:$S$305,'13_검토이력'!$P$6:$P$305,M6))</x:f>
        <x:v>1</x:v>
      </x:c>
      <x:c r="S6" s="12" t="n">
        <x:f>IF(AND(L6=1,N6&gt;=1,N6&lt;=4),1,0)</x:f>
        <x:v>1</x:v>
      </x:c>
      <x:c r="T6" s="12" t="n">
        <x:f>IF(AND(S6=1,Q6&gt;'01_설정'!$B$10),1,0)</x:f>
        <x:v>1</x:v>
      </x:c>
      <x:c r="U6" s="12" t="n">
        <x:f>IF(AND(L6=1,N6=5),1,0)</x:f>
        <x:v>0</x:v>
      </x:c>
      <x:c r="V6" s="12" t="str">
        <x:f>IF(AND(L6=1,N6&gt;=6,N6&lt;=8,P6&gt;0),P6-F6,"")</x:f>
      </x:c>
      <x:c r="W6" s="12" t="str">
        <x:f>IF(OR(A6="",M6=0),"",IFERROR(INDEX('13_검토이력'!$L$6:$L$305,MATCH(M6,'13_검토이력'!$P$6:$P$305,0)),""))</x:f>
        <x:v>보완자료 회신 확인</x:v>
      </x:c>
      <x:c r="X6" s="12" t="n">
        <x:f>IF(A6="",0,IF(COUNTIF('12_신청'!$A$6:$A$105,A6)&gt;1,1,0))</x:f>
        <x:v>0</x:v>
      </x:c>
    </x:row>
    <x:row r="7" ht="20" customHeight="1">
      <x:c r="A7" s="22" t="str">
        <x:v>DEMO-A002</x:v>
      </x:c>
      <x:c r="B7" s="22" t="str">
        <x:v>DEMO-M002</x:v>
      </x:c>
      <x:c r="C7" s="26" t="str">
        <x:v>[예시] 검토 안건 02</x:v>
      </x:c>
      <x:c r="D7" s="22" t="str">
        <x:v>revision</x:v>
      </x:c>
      <x:c r="E7" s="22" t="str">
        <x:v>industry</x:v>
      </x:c>
      <x:c r="F7" s="28" t="n">
        <x:v>46249</x:v>
      </x:c>
      <x:c r="G7" s="28" t="n">
        <x:v>46249</x:v>
      </x:c>
      <x:c r="H7" s="22" t="str">
        <x:v>예시 담당 3</x:v>
      </x:c>
      <x:c r="I7" s="22" t="str">
        <x:v>DEMO-INTERNAL</x:v>
      </x:c>
      <x:c r="J7" s="30" t="b">
        <x:v>0</x:v>
      </x:c>
      <x:c r="K7" s="12" t="n">
        <x:f>IF(A7="",0,IF('01_설정'!$B$8="all",1,IF('01_설정'!$B$8="industry_transition",IF(OR(E7="industry",E7="transition"),1,0),IF(E7='01_설정'!$B$8,1,0))))</x:f>
        <x:v>1</x:v>
      </x:c>
      <x:c r="L7" s="12" t="n">
        <x:f>IF(A7="",0,IF(AND(K7=1,F7&lt;='01_설정'!$B$6,G7&lt;='01_설정'!$B$7),1,0))</x:f>
        <x:v>1</x:v>
      </x:c>
      <x:c r="M7" s="12" t="n">
        <x:f>IF(A7="",0,_xlfn.MAXIFS('13_검토이력'!$P$6:$P$305,'13_검토이력'!$B$6:$B$305,A7,'13_검토이력'!$O$6:$O$305,1))</x:f>
        <x:v>4627500006</x:v>
      </x:c>
      <x:c r="N7" s="12" t="n">
        <x:f>IF(A7="",9,IF(M7=0,9,SUMIFS('13_검토이력'!$N$6:$N$305,'13_검토이력'!$P$6:$P$305,M7)))</x:f>
        <x:v>3</x:v>
      </x:c>
      <x:c r="O7" s="12" t="str">
        <x:f>IF(A7="","",INDEX('17_코드북'!$B$6:$B$15,N7+1))</x:f>
        <x:v>관계기관 협의</x:v>
      </x:c>
      <x:c r="P7" s="40" t="n">
        <x:f>IF(A7="",0,_xlfn.MAXIFS('13_검토이력'!$D$6:$D$305,'13_검토이력'!$B$6:$B$305,A7,'13_검토이력'!$O$6:$O$305,1,'13_검토이력'!$Q$6:$Q$305,1))</x:f>
        <x:v>46275</x:v>
      </x:c>
      <x:c r="Q7" s="12" t="n">
        <x:f>IF(OR(L7=0,P7=0),"",'01_설정'!$B$6-P7)</x:f>
        <x:v>33</x:v>
      </x:c>
      <x:c r="R7" s="12" t="n">
        <x:f>IF(OR(L7=0,M7=0),0,SUMIFS('13_검토이력'!$S$6:$S$305,'13_검토이력'!$P$6:$P$305,M7))</x:f>
        <x:v>0</x:v>
      </x:c>
      <x:c r="S7" s="12" t="n">
        <x:f>IF(AND(L7=1,N7&gt;=1,N7&lt;=4),1,0)</x:f>
        <x:v>1</x:v>
      </x:c>
      <x:c r="T7" s="12" t="n">
        <x:f>IF(AND(S7=1,Q7&gt;'01_설정'!$B$10),1,0)</x:f>
        <x:v>0</x:v>
      </x:c>
      <x:c r="U7" s="12" t="n">
        <x:f>IF(AND(L7=1,N7=5),1,0)</x:f>
        <x:v>0</x:v>
      </x:c>
      <x:c r="V7" s="12" t="str">
        <x:f>IF(AND(L7=1,N7&gt;=6,N7&lt;=8,P7&gt;0),P7-F7,"")</x:f>
      </x:c>
      <x:c r="W7" s="12" t="str">
        <x:f>IF(OR(A7="",M7=0),"",IFERROR(INDEX('13_검토이력'!$L$6:$L$305,MATCH(M7,'13_검토이력'!$P$6:$P$305,0)),""))</x:f>
        <x:v>다음 단계 확인</x:v>
      </x:c>
      <x:c r="X7" s="12" t="n">
        <x:f>IF(A7="",0,IF(COUNTIF('12_신청'!$A$6:$A$105,A7)&gt;1,1,0))</x:f>
        <x:v>0</x:v>
      </x:c>
    </x:row>
    <x:row r="8" ht="20" customHeight="1">
      <x:c r="A8" s="22" t="str">
        <x:v>DEMO-A003</x:v>
      </x:c>
      <x:c r="B8" s="22"/>
      <x:c r="C8" s="26" t="str">
        <x:v>[예시] 검토 안건 03</x:v>
      </x:c>
      <x:c r="D8" s="22" t="str">
        <x:v>new</x:v>
      </x:c>
      <x:c r="E8" s="22" t="str">
        <x:v>industry</x:v>
      </x:c>
      <x:c r="F8" s="28" t="n">
        <x:v>46266</x:v>
      </x:c>
      <x:c r="G8" s="28" t="n">
        <x:v>46266</x:v>
      </x:c>
      <x:c r="H8" s="22" t="str">
        <x:v>예시 담당 1</x:v>
      </x:c>
      <x:c r="I8" s="22" t="str">
        <x:v>DEMO-INTERNAL</x:v>
      </x:c>
      <x:c r="J8" s="30" t="b">
        <x:v>0</x:v>
      </x:c>
      <x:c r="K8" s="12" t="n">
        <x:f>IF(A8="",0,IF('01_설정'!$B$8="all",1,IF('01_설정'!$B$8="industry_transition",IF(OR(E8="industry",E8="transition"),1,0),IF(E8='01_설정'!$B$8,1,0))))</x:f>
        <x:v>1</x:v>
      </x:c>
      <x:c r="L8" s="12" t="n">
        <x:f>IF(A8="",0,IF(AND(K8=1,F8&lt;='01_설정'!$B$6,G8&lt;='01_설정'!$B$7),1,0))</x:f>
        <x:v>1</x:v>
      </x:c>
      <x:c r="M8" s="12" t="n">
        <x:f>IF(A8="",0,_xlfn.MAXIFS('13_검토이력'!$P$6:$P$305,'13_검토이력'!$B$6:$B$305,A8,'13_검토이력'!$O$6:$O$305,1))</x:f>
        <x:v>4629600009</x:v>
      </x:c>
      <x:c r="N8" s="12" t="n">
        <x:f>IF(A8="",9,IF(M8=0,9,SUMIFS('13_검토이력'!$N$6:$N$305,'13_검토이력'!$P$6:$P$305,M8)))</x:f>
        <x:v>4</x:v>
      </x:c>
      <x:c r="O8" s="12" t="str">
        <x:f>IF(A8="","",INDEX('17_코드북'!$B$6:$B$15,N8+1))</x:f>
        <x:v>심의</x:v>
      </x:c>
      <x:c r="P8" s="40" t="n">
        <x:f>IF(A8="",0,_xlfn.MAXIFS('13_검토이력'!$D$6:$D$305,'13_검토이력'!$B$6:$B$305,A8,'13_검토이력'!$O$6:$O$305,1,'13_검토이력'!$Q$6:$Q$305,1))</x:f>
        <x:v>46296</x:v>
      </x:c>
      <x:c r="Q8" s="12" t="n">
        <x:f>IF(OR(L8=0,P8=0),"",'01_설정'!$B$6-P8)</x:f>
        <x:v>12</x:v>
      </x:c>
      <x:c r="R8" s="12" t="n">
        <x:f>IF(OR(L8=0,M8=0),0,SUMIFS('13_검토이력'!$S$6:$S$305,'13_검토이력'!$P$6:$P$305,M8))</x:f>
        <x:v>0</x:v>
      </x:c>
      <x:c r="S8" s="12" t="n">
        <x:f>IF(AND(L8=1,N8&gt;=1,N8&lt;=4),1,0)</x:f>
        <x:v>1</x:v>
      </x:c>
      <x:c r="T8" s="12" t="n">
        <x:f>IF(AND(S8=1,Q8&gt;'01_설정'!$B$10),1,0)</x:f>
        <x:v>0</x:v>
      </x:c>
      <x:c r="U8" s="12" t="n">
        <x:f>IF(AND(L8=1,N8=5),1,0)</x:f>
        <x:v>0</x:v>
      </x:c>
      <x:c r="V8" s="12" t="str">
        <x:f>IF(AND(L8=1,N8&gt;=6,N8&lt;=8,P8&gt;0),P8-F8,"")</x:f>
      </x:c>
      <x:c r="W8" s="12" t="str">
        <x:f>IF(OR(A8="",M8=0),"",IFERROR(INDEX('13_검토이력'!$L$6:$L$305,MATCH(M8,'13_검토이력'!$P$6:$P$305,0)),""))</x:f>
        <x:v>다음 단계 확인</x:v>
      </x:c>
      <x:c r="X8" s="12" t="n">
        <x:f>IF(A8="",0,IF(COUNTIF('12_신청'!$A$6:$A$105,A8)&gt;1,1,0))</x:f>
        <x:v>0</x:v>
      </x:c>
    </x:row>
    <x:row r="9" ht="20" customHeight="1">
      <x:c r="A9" s="22" t="str">
        <x:v>DEMO-A004</x:v>
      </x:c>
      <x:c r="B9" s="22" t="str">
        <x:v>DEMO-M004</x:v>
      </x:c>
      <x:c r="C9" s="26" t="str">
        <x:v>[예시] 검토 안건 04</x:v>
      </x:c>
      <x:c r="D9" s="22" t="str">
        <x:v>revision</x:v>
      </x:c>
      <x:c r="E9" s="22" t="str">
        <x:v>industry</x:v>
      </x:c>
      <x:c r="F9" s="28" t="n">
        <x:v>46174</x:v>
      </x:c>
      <x:c r="G9" s="28" t="n">
        <x:v>46174</x:v>
      </x:c>
      <x:c r="H9" s="22" t="str">
        <x:v>예시 담당 2</x:v>
      </x:c>
      <x:c r="I9" s="22" t="str">
        <x:v>DEMO-INTERNAL</x:v>
      </x:c>
      <x:c r="J9" s="30" t="b">
        <x:v>0</x:v>
      </x:c>
      <x:c r="K9" s="12" t="n">
        <x:f>IF(A9="",0,IF('01_설정'!$B$8="all",1,IF('01_설정'!$B$8="industry_transition",IF(OR(E9="industry",E9="transition"),1,0),IF(E9='01_설정'!$B$8,1,0))))</x:f>
        <x:v>1</x:v>
      </x:c>
      <x:c r="L9" s="12" t="n">
        <x:f>IF(A9="",0,IF(AND(K9=1,F9&lt;='01_설정'!$B$6,G9&lt;='01_설정'!$B$7),1,0))</x:f>
        <x:v>1</x:v>
      </x:c>
      <x:c r="M9" s="12" t="n">
        <x:f>IF(A9="",0,_xlfn.MAXIFS('13_검토이력'!$P$6:$P$305,'13_검토이력'!$B$6:$B$305,A9,'13_검토이력'!$O$6:$O$305,1))</x:f>
        <x:v>4630000013</x:v>
      </x:c>
      <x:c r="N9" s="12" t="n">
        <x:f>IF(A9="",9,IF(M9=0,9,SUMIFS('13_검토이력'!$N$6:$N$305,'13_검토이력'!$P$6:$P$305,M9)))</x:f>
        <x:v>5</x:v>
      </x:c>
      <x:c r="O9" s="12" t="str">
        <x:f>IF(A9="","",INDEX('17_코드북'!$B$6:$B$15,N9+1))</x:f>
        <x:v>승인·등록대기</x:v>
      </x:c>
      <x:c r="P9" s="40" t="n">
        <x:f>IF(A9="",0,_xlfn.MAXIFS('13_검토이력'!$D$6:$D$305,'13_검토이력'!$B$6:$B$305,A9,'13_검토이력'!$O$6:$O$305,1,'13_검토이력'!$Q$6:$Q$305,1))</x:f>
        <x:v>46300</x:v>
      </x:c>
      <x:c r="Q9" s="12" t="n">
        <x:f>IF(OR(L9=0,P9=0),"",'01_설정'!$B$6-P9)</x:f>
        <x:v>8</x:v>
      </x:c>
      <x:c r="R9" s="12" t="n">
        <x:f>IF(OR(L9=0,M9=0),0,SUMIFS('13_검토이력'!$S$6:$S$305,'13_검토이력'!$P$6:$P$305,M9))</x:f>
        <x:v>0</x:v>
      </x:c>
      <x:c r="S9" s="12" t="n">
        <x:f>IF(AND(L9=1,N9&gt;=1,N9&lt;=4),1,0)</x:f>
        <x:v>0</x:v>
      </x:c>
      <x:c r="T9" s="12" t="n">
        <x:f>IF(AND(S9=1,Q9&gt;'01_설정'!$B$10),1,0)</x:f>
        <x:v>0</x:v>
      </x:c>
      <x:c r="U9" s="12" t="n">
        <x:f>IF(AND(L9=1,N9=5),1,0)</x:f>
        <x:v>1</x:v>
      </x:c>
      <x:c r="V9" s="12" t="str">
        <x:f>IF(AND(L9=1,N9&gt;=6,N9&lt;=8,P9&gt;0),P9-F9,"")</x:f>
      </x:c>
      <x:c r="W9" s="12" t="str">
        <x:f>IF(OR(A9="",M9=0),"",IFERROR(INDEX('13_검토이력'!$L$6:$L$305,MATCH(M9,'13_검토이력'!$P$6:$P$305,0)),""))</x:f>
        <x:v>다음 단계 확인</x:v>
      </x:c>
      <x:c r="X9" s="12" t="n">
        <x:f>IF(A9="",0,IF(COUNTIF('12_신청'!$A$6:$A$105,A9)&gt;1,1,0))</x:f>
        <x:v>0</x:v>
      </x:c>
    </x:row>
    <x:row r="10" ht="20" customHeight="1">
      <x:c r="A10" s="22" t="str">
        <x:v>DEMO-A005</x:v>
      </x:c>
      <x:c r="B10" s="22"/>
      <x:c r="C10" s="26" t="str">
        <x:v>[예시] 검토 안건 05</x:v>
      </x:c>
      <x:c r="D10" s="22" t="str">
        <x:v>new</x:v>
      </x:c>
      <x:c r="E10" s="22" t="str">
        <x:v>industry</x:v>
      </x:c>
      <x:c r="F10" s="28" t="n">
        <x:v>46305</x:v>
      </x:c>
      <x:c r="G10" s="28" t="n">
        <x:v>46305</x:v>
      </x:c>
      <x:c r="H10" s="22" t="str">
        <x:v>예시 담당 3</x:v>
      </x:c>
      <x:c r="I10" s="22" t="str">
        <x:v>DEMO-INTERNAL</x:v>
      </x:c>
      <x:c r="J10" s="30" t="b">
        <x:v>0</x:v>
      </x:c>
      <x:c r="K10" s="12" t="n">
        <x:f>IF(A10="",0,IF('01_설정'!$B$8="all",1,IF('01_설정'!$B$8="industry_transition",IF(OR(E10="industry",E10="transition"),1,0),IF(E10='01_설정'!$B$8,1,0))))</x:f>
        <x:v>1</x:v>
      </x:c>
      <x:c r="L10" s="12" t="n">
        <x:f>IF(A10="",0,IF(AND(K10=1,F10&lt;='01_설정'!$B$6,G10&lt;='01_설정'!$B$7),1,0))</x:f>
        <x:v>1</x:v>
      </x:c>
      <x:c r="M10" s="12" t="n">
        <x:f>IF(A10="",0,_xlfn.MAXIFS('13_검토이력'!$P$6:$P$305,'13_검토이력'!$B$6:$B$305,A10,'13_검토이력'!$O$6:$O$305,1))</x:f>
        <x:v>4630500014</x:v>
      </x:c>
      <x:c r="N10" s="12" t="n">
        <x:f>IF(A10="",9,IF(M10=0,9,SUMIFS('13_검토이력'!$N$6:$N$305,'13_검토이력'!$P$6:$P$305,M10)))</x:f>
        <x:v>1</x:v>
      </x:c>
      <x:c r="O10" s="12" t="str">
        <x:f>IF(A10="","",INDEX('17_코드북'!$B$6:$B$15,N10+1))</x:f>
        <x:v>접수</x:v>
      </x:c>
      <x:c r="P10" s="40" t="n">
        <x:f>IF(A10="",0,_xlfn.MAXIFS('13_검토이력'!$D$6:$D$305,'13_검토이력'!$B$6:$B$305,A10,'13_검토이력'!$O$6:$O$305,1,'13_검토이력'!$Q$6:$Q$305,1))</x:f>
        <x:v>46305</x:v>
      </x:c>
      <x:c r="Q10" s="12" t="n">
        <x:f>IF(OR(L10=0,P10=0),"",'01_설정'!$B$6-P10)</x:f>
        <x:v>3</x:v>
      </x:c>
      <x:c r="R10" s="12" t="n">
        <x:f>IF(OR(L10=0,M10=0),0,SUMIFS('13_검토이력'!$S$6:$S$305,'13_검토이력'!$P$6:$P$305,M10))</x:f>
        <x:v>0</x:v>
      </x:c>
      <x:c r="S10" s="12" t="n">
        <x:f>IF(AND(L10=1,N10&gt;=1,N10&lt;=4),1,0)</x:f>
        <x:v>1</x:v>
      </x:c>
      <x:c r="T10" s="12" t="n">
        <x:f>IF(AND(S10=1,Q10&gt;'01_설정'!$B$10),1,0)</x:f>
        <x:v>0</x:v>
      </x:c>
      <x:c r="U10" s="12" t="n">
        <x:f>IF(AND(L10=1,N10=5),1,0)</x:f>
        <x:v>0</x:v>
      </x:c>
      <x:c r="V10" s="12" t="str">
        <x:f>IF(AND(L10=1,N10&gt;=6,N10&lt;=8,P10&gt;0),P10-F10,"")</x:f>
      </x:c>
      <x:c r="W10" s="12" t="str">
        <x:f>IF(OR(A10="",M10=0),"",IFERROR(INDEX('13_검토이력'!$L$6:$L$305,MATCH(M10,'13_검토이력'!$P$6:$P$305,0)),""))</x:f>
        <x:v>다음 단계 확인</x:v>
      </x:c>
      <x:c r="X10" s="12" t="n">
        <x:f>IF(A10="",0,IF(COUNTIF('12_신청'!$A$6:$A$105,A10)&gt;1,1,0))</x:f>
        <x:v>0</x:v>
      </x:c>
    </x:row>
    <x:row r="11" ht="20" customHeight="1">
      <x:c r="A11" s="22" t="str">
        <x:v>DEMO-A006</x:v>
      </x:c>
      <x:c r="B11" s="22"/>
      <x:c r="C11" s="26" t="str">
        <x:v>[예시] 검토 안건 06</x:v>
      </x:c>
      <x:c r="D11" s="22" t="str">
        <x:v>new</x:v>
      </x:c>
      <x:c r="E11" s="22" t="str">
        <x:v>industry</x:v>
      </x:c>
      <x:c r="F11" s="28" t="n">
        <x:v>46218</x:v>
      </x:c>
      <x:c r="G11" s="28" t="n">
        <x:v>46218</x:v>
      </x:c>
      <x:c r="H11" s="22" t="str">
        <x:v>예시 담당 1</x:v>
      </x:c>
      <x:c r="I11" s="22" t="str">
        <x:v>DEMO-INTERNAL</x:v>
      </x:c>
      <x:c r="J11" s="30" t="b">
        <x:v>0</x:v>
      </x:c>
      <x:c r="K11" s="12" t="n">
        <x:f>IF(A11="",0,IF('01_설정'!$B$8="all",1,IF('01_설정'!$B$8="industry_transition",IF(OR(E11="industry",E11="transition"),1,0),IF(E11='01_설정'!$B$8,1,0))))</x:f>
        <x:v>1</x:v>
      </x:c>
      <x:c r="L11" s="12" t="n">
        <x:f>IF(A11="",0,IF(AND(K11=1,F11&lt;='01_설정'!$B$6,G11&lt;='01_설정'!$B$7),1,0))</x:f>
        <x:v>1</x:v>
      </x:c>
      <x:c r="M11" s="12" t="n">
        <x:f>IF(A11="",0,_xlfn.MAXIFS('13_검토이력'!$P$6:$P$305,'13_검토이력'!$B$6:$B$305,A11,'13_검토이력'!$O$6:$O$305,1))</x:f>
        <x:v>4625900017</x:v>
      </x:c>
      <x:c r="N11" s="12" t="n">
        <x:f>IF(A11="",9,IF(M11=0,9,SUMIFS('13_검토이력'!$N$6:$N$305,'13_검토이력'!$P$6:$P$305,M11)))</x:f>
        <x:v>8</x:v>
      </x:c>
      <x:c r="O11" s="12" t="str">
        <x:f>IF(A11="","",INDEX('17_코드북'!$B$6:$B$15,N11+1))</x:f>
        <x:v>철회</x:v>
      </x:c>
      <x:c r="P11" s="40" t="n">
        <x:f>IF(A11="",0,_xlfn.MAXIFS('13_검토이력'!$D$6:$D$305,'13_검토이력'!$B$6:$B$305,A11,'13_검토이력'!$O$6:$O$305,1,'13_검토이력'!$Q$6:$Q$305,1))</x:f>
        <x:v>46259</x:v>
      </x:c>
      <x:c r="Q11" s="12" t="n">
        <x:f>IF(OR(L11=0,P11=0),"",'01_설정'!$B$6-P11)</x:f>
        <x:v>49</x:v>
      </x:c>
      <x:c r="R11" s="12" t="n">
        <x:f>IF(OR(L11=0,M11=0),0,SUMIFS('13_검토이력'!$S$6:$S$305,'13_검토이력'!$P$6:$P$305,M11))</x:f>
        <x:v>0</x:v>
      </x:c>
      <x:c r="S11" s="12" t="n">
        <x:f>IF(AND(L11=1,N11&gt;=1,N11&lt;=4),1,0)</x:f>
        <x:v>0</x:v>
      </x:c>
      <x:c r="T11" s="12" t="n">
        <x:f>IF(AND(S11=1,Q11&gt;'01_설정'!$B$10),1,0)</x:f>
        <x:v>0</x:v>
      </x:c>
      <x:c r="U11" s="12" t="n">
        <x:f>IF(AND(L11=1,N11=5),1,0)</x:f>
        <x:v>0</x:v>
      </x:c>
      <x:c r="V11" s="12" t="n">
        <x:f>IF(AND(L11=1,N11&gt;=6,N11&lt;=8,P11&gt;0),P11-F11,"")</x:f>
        <x:v>41</x:v>
      </x:c>
      <x:c r="W11" s="12" t="str">
        <x:f>IF(OR(A11="",M11=0),"",IFERROR(INDEX('13_검토이력'!$L$6:$L$305,MATCH(M11,'13_검토이력'!$P$6:$P$305,0)),""))</x:f>
      </x:c>
      <x:c r="X11" s="12" t="n">
        <x:f>IF(A11="",0,IF(COUNTIF('12_신청'!$A$6:$A$105,A11)&gt;1,1,0))</x:f>
        <x:v>0</x:v>
      </x:c>
    </x:row>
    <x:row r="12" ht="20" customHeight="1">
      <x:c r="A12" s="22" t="str">
        <x:v>DEMO-A007</x:v>
      </x:c>
      <x:c r="B12" s="22" t="str">
        <x:v>DEMO-M007</x:v>
      </x:c>
      <x:c r="C12" s="26" t="str">
        <x:v>[예시] 검토 안건 07</x:v>
      </x:c>
      <x:c r="D12" s="22" t="str">
        <x:v>new</x:v>
      </x:c>
      <x:c r="E12" s="22" t="str">
        <x:v>industry</x:v>
      </x:c>
      <x:c r="F12" s="28" t="n">
        <x:v>46027</x:v>
      </x:c>
      <x:c r="G12" s="28" t="n">
        <x:v>46027</x:v>
      </x:c>
      <x:c r="H12" s="22" t="str">
        <x:v>예시 담당 2</x:v>
      </x:c>
      <x:c r="I12" s="22" t="str">
        <x:v>DEMO-INTERNAL</x:v>
      </x:c>
      <x:c r="J12" s="30" t="b">
        <x:v>0</x:v>
      </x:c>
      <x:c r="K12" s="12" t="n">
        <x:f>IF(A12="",0,IF('01_설정'!$B$8="all",1,IF('01_설정'!$B$8="industry_transition",IF(OR(E12="industry",E12="transition"),1,0),IF(E12='01_설정'!$B$8,1,0))))</x:f>
        <x:v>1</x:v>
      </x:c>
      <x:c r="L12" s="12" t="n">
        <x:f>IF(A12="",0,IF(AND(K12=1,F12&lt;='01_설정'!$B$6,G12&lt;='01_설정'!$B$7),1,0))</x:f>
        <x:v>1</x:v>
      </x:c>
      <x:c r="M12" s="12" t="n">
        <x:f>IF(A12="",0,_xlfn.MAXIFS('13_검토이력'!$P$6:$P$305,'13_검토이력'!$B$6:$B$305,A12,'13_검토이력'!$O$6:$O$305,1))</x:f>
        <x:v>4606500021</x:v>
      </x:c>
      <x:c r="N12" s="12" t="n">
        <x:f>IF(A12="",9,IF(M12=0,9,SUMIFS('13_검토이력'!$N$6:$N$305,'13_검토이력'!$P$6:$P$305,M12)))</x:f>
        <x:v>6</x:v>
      </x:c>
      <x:c r="O12" s="12" t="str">
        <x:f>IF(A12="","",INDEX('17_코드북'!$B$6:$B$15,N12+1))</x:f>
        <x:v>등록 완료</x:v>
      </x:c>
      <x:c r="P12" s="40" t="n">
        <x:f>IF(A12="",0,_xlfn.MAXIFS('13_검토이력'!$D$6:$D$305,'13_검토이력'!$B$6:$B$305,A12,'13_검토이력'!$O$6:$O$305,1,'13_검토이력'!$Q$6:$Q$305,1))</x:f>
        <x:v>46065</x:v>
      </x:c>
      <x:c r="Q12" s="12" t="n">
        <x:f>IF(OR(L12=0,P12=0),"",'01_설정'!$B$6-P12)</x:f>
        <x:v>243</x:v>
      </x:c>
      <x:c r="R12" s="12" t="n">
        <x:f>IF(OR(L12=0,M12=0),0,SUMIFS('13_검토이력'!$S$6:$S$305,'13_검토이력'!$P$6:$P$305,M12))</x:f>
        <x:v>0</x:v>
      </x:c>
      <x:c r="S12" s="12" t="n">
        <x:f>IF(AND(L12=1,N12&gt;=1,N12&lt;=4),1,0)</x:f>
        <x:v>0</x:v>
      </x:c>
      <x:c r="T12" s="12" t="n">
        <x:f>IF(AND(S12=1,Q12&gt;'01_설정'!$B$10),1,0)</x:f>
        <x:v>0</x:v>
      </x:c>
      <x:c r="U12" s="12" t="n">
        <x:f>IF(AND(L12=1,N12=5),1,0)</x:f>
        <x:v>0</x:v>
      </x:c>
      <x:c r="V12" s="12" t="n">
        <x:f>IF(AND(L12=1,N12&gt;=6,N12&lt;=8,P12&gt;0),P12-F12,"")</x:f>
        <x:v>38</x:v>
      </x:c>
      <x:c r="W12" s="12" t="str">
        <x:f>IF(OR(A12="",M12=0),"",IFERROR(INDEX('13_검토이력'!$L$6:$L$305,MATCH(M12,'13_검토이력'!$P$6:$P$305,0)),""))</x:f>
      </x:c>
      <x:c r="X12" s="12" t="n">
        <x:f>IF(A12="",0,IF(COUNTIF('12_신청'!$A$6:$A$105,A12)&gt;1,1,0))</x:f>
        <x:v>0</x:v>
      </x:c>
    </x:row>
    <x:row r="13" ht="20" customHeight="1">
      <x:c r="A13" s="22" t="str">
        <x:v>DEMO-A008</x:v>
      </x:c>
      <x:c r="B13" s="22"/>
      <x:c r="C13" s="26" t="str">
        <x:v>[예시] 검토 안건 08</x:v>
      </x:c>
      <x:c r="D13" s="22" t="str">
        <x:v>new</x:v>
      </x:c>
      <x:c r="E13" s="22" t="str">
        <x:v>industry</x:v>
      </x:c>
      <x:c r="F13" s="28" t="n">
        <x:v>46113</x:v>
      </x:c>
      <x:c r="G13" s="28" t="n">
        <x:v>46113</x:v>
      </x:c>
      <x:c r="H13" s="22" t="str">
        <x:v>예시 담당 3</x:v>
      </x:c>
      <x:c r="I13" s="22" t="str">
        <x:v>DEMO-INTERNAL</x:v>
      </x:c>
      <x:c r="J13" s="30" t="b">
        <x:v>0</x:v>
      </x:c>
      <x:c r="K13" s="12" t="n">
        <x:f>IF(A13="",0,IF('01_설정'!$B$8="all",1,IF('01_설정'!$B$8="industry_transition",IF(OR(E13="industry",E13="transition"),1,0),IF(E13='01_설정'!$B$8,1,0))))</x:f>
        <x:v>1</x:v>
      </x:c>
      <x:c r="L13" s="12" t="n">
        <x:f>IF(A13="",0,IF(AND(K13=1,F13&lt;='01_설정'!$B$6,G13&lt;='01_설정'!$B$7),1,0))</x:f>
        <x:v>1</x:v>
      </x:c>
      <x:c r="M13" s="12" t="n">
        <x:f>IF(A13="",0,_xlfn.MAXIFS('13_검토이력'!$P$6:$P$305,'13_검토이력'!$B$6:$B$305,A13,'13_검토이력'!$O$6:$O$305,1))</x:f>
        <x:v>4617400024</x:v>
      </x:c>
      <x:c r="N13" s="12" t="n">
        <x:f>IF(A13="",9,IF(M13=0,9,SUMIFS('13_검토이력'!$N$6:$N$305,'13_검토이력'!$P$6:$P$305,M13)))</x:f>
        <x:v>7</x:v>
      </x:c>
      <x:c r="O13" s="12" t="str">
        <x:f>IF(A13="","",INDEX('17_코드북'!$B$6:$B$15,N13+1))</x:f>
        <x:v>반려·불승인</x:v>
      </x:c>
      <x:c r="P13" s="40" t="n">
        <x:f>IF(A13="",0,_xlfn.MAXIFS('13_검토이력'!$D$6:$D$305,'13_검토이력'!$B$6:$B$305,A13,'13_검토이력'!$O$6:$O$305,1,'13_검토이력'!$Q$6:$Q$305,1))</x:f>
        <x:v>46174</x:v>
      </x:c>
      <x:c r="Q13" s="12" t="n">
        <x:f>IF(OR(L13=0,P13=0),"",'01_설정'!$B$6-P13)</x:f>
        <x:v>134</x:v>
      </x:c>
      <x:c r="R13" s="12" t="n">
        <x:f>IF(OR(L13=0,M13=0),0,SUMIFS('13_검토이력'!$S$6:$S$305,'13_검토이력'!$P$6:$P$305,M13))</x:f>
        <x:v>0</x:v>
      </x:c>
      <x:c r="S13" s="12" t="n">
        <x:f>IF(AND(L13=1,N13&gt;=1,N13&lt;=4),1,0)</x:f>
        <x:v>0</x:v>
      </x:c>
      <x:c r="T13" s="12" t="n">
        <x:f>IF(AND(S13=1,Q13&gt;'01_설정'!$B$10),1,0)</x:f>
        <x:v>0</x:v>
      </x:c>
      <x:c r="U13" s="12" t="n">
        <x:f>IF(AND(L13=1,N13=5),1,0)</x:f>
        <x:v>0</x:v>
      </x:c>
      <x:c r="V13" s="12" t="n">
        <x:f>IF(AND(L13=1,N13&gt;=6,N13&lt;=8,P13&gt;0),P13-F13,"")</x:f>
        <x:v>61</x:v>
      </x:c>
      <x:c r="W13" s="12" t="str">
        <x:f>IF(OR(A13="",M13=0),"",IFERROR(INDEX('13_검토이력'!$L$6:$L$305,MATCH(M13,'13_검토이력'!$P$6:$P$305,0)),""))</x:f>
      </x:c>
      <x:c r="X13" s="12" t="n">
        <x:f>IF(A13="",0,IF(COUNTIF('12_신청'!$A$6:$A$105,A13)&gt;1,1,0))</x:f>
        <x:v>0</x:v>
      </x:c>
    </x:row>
    <x:row r="14" ht="20" customHeight="1">
      <x:c r="A14" s="22" t="str">
        <x:v>DEMO-A009</x:v>
      </x:c>
      <x:c r="B14" s="22"/>
      <x:c r="C14" s="26" t="str">
        <x:v>[예시] 검토 안건 09</x:v>
      </x:c>
      <x:c r="D14" s="22" t="str">
        <x:v>new</x:v>
      </x:c>
      <x:c r="E14" s="22" t="str">
        <x:v>transition</x:v>
      </x:c>
      <x:c r="F14" s="28" t="n">
        <x:v>46285</x:v>
      </x:c>
      <x:c r="G14" s="28" t="n">
        <x:v>46285</x:v>
      </x:c>
      <x:c r="H14" s="22" t="str">
        <x:v>예시 담당 1</x:v>
      </x:c>
      <x:c r="I14" s="22" t="str">
        <x:v>DEMO-INTERNAL</x:v>
      </x:c>
      <x:c r="J14" s="30" t="b">
        <x:v>0</x:v>
      </x:c>
      <x:c r="K14" s="12" t="n">
        <x:f>IF(A14="",0,IF('01_설정'!$B$8="all",1,IF('01_설정'!$B$8="industry_transition",IF(OR(E14="industry",E14="transition"),1,0),IF(E14='01_설정'!$B$8,1,0))))</x:f>
        <x:v>0</x:v>
      </x:c>
      <x:c r="L14" s="12" t="n">
        <x:f>IF(A14="",0,IF(AND(K14=1,F14&lt;='01_설정'!$B$6,G14&lt;='01_설정'!$B$7),1,0))</x:f>
        <x:v>0</x:v>
      </x:c>
      <x:c r="M14" s="12" t="n">
        <x:f>IF(A14="",0,_xlfn.MAXIFS('13_검토이력'!$P$6:$P$305,'13_검토이력'!$B$6:$B$305,A14,'13_검토이력'!$O$6:$O$305,1))</x:f>
        <x:v>4629000026</x:v>
      </x:c>
      <x:c r="N14" s="12" t="n">
        <x:f>IF(A14="",9,IF(M14=0,9,SUMIFS('13_검토이력'!$N$6:$N$305,'13_검토이력'!$P$6:$P$305,M14)))</x:f>
        <x:v>2</x:v>
      </x:c>
      <x:c r="O14" s="12" t="str">
        <x:f>IF(A14="","",INDEX('17_코드북'!$B$6:$B$15,N14+1))</x:f>
        <x:v>관장기관 검토</x:v>
      </x:c>
      <x:c r="P14" s="40" t="n">
        <x:f>IF(A14="",0,_xlfn.MAXIFS('13_검토이력'!$D$6:$D$305,'13_검토이력'!$B$6:$B$305,A14,'13_검토이력'!$O$6:$O$305,1,'13_검토이력'!$Q$6:$Q$305,1))</x:f>
        <x:v>46290</x:v>
      </x:c>
      <x:c r="Q14" s="12" t="str">
        <x:f>IF(OR(L14=0,P14=0),"",'01_설정'!$B$6-P14)</x:f>
      </x:c>
      <x:c r="R14" s="12" t="n">
        <x:f>IF(OR(L14=0,M14=0),0,SUMIFS('13_검토이력'!$S$6:$S$305,'13_검토이력'!$P$6:$P$305,M14))</x:f>
        <x:v>0</x:v>
      </x:c>
      <x:c r="S14" s="12" t="n">
        <x:f>IF(AND(L14=1,N14&gt;=1,N14&lt;=4),1,0)</x:f>
        <x:v>0</x:v>
      </x:c>
      <x:c r="T14" s="12" t="n">
        <x:f>IF(AND(S14=1,Q14&gt;'01_설정'!$B$10),1,0)</x:f>
        <x:v>0</x:v>
      </x:c>
      <x:c r="U14" s="12" t="n">
        <x:f>IF(AND(L14=1,N14=5),1,0)</x:f>
        <x:v>0</x:v>
      </x:c>
      <x:c r="V14" s="12" t="str">
        <x:f>IF(AND(L14=1,N14&gt;=6,N14&lt;=8,P14&gt;0),P14-F14,"")</x:f>
      </x:c>
      <x:c r="W14" s="12" t="str">
        <x:f>IF(OR(A14="",M14=0),"",IFERROR(INDEX('13_검토이력'!$L$6:$L$305,MATCH(M14,'13_검토이력'!$P$6:$P$305,0)),""))</x:f>
        <x:v>다음 단계 확인</x:v>
      </x:c>
      <x:c r="X14" s="12" t="n">
        <x:f>IF(A14="",0,IF(COUNTIF('12_신청'!$A$6:$A$105,A14)&gt;1,1,0))</x:f>
        <x:v>0</x:v>
      </x:c>
    </x:row>
    <x:row r="15" ht="20" customHeight="1">
      <x:c r="A15" s="22" t="str">
        <x:v>DEMO-A010</x:v>
      </x:c>
      <x:c r="B15" s="22"/>
      <x:c r="C15" s="26" t="str">
        <x:v>[예시] 검토 안건 10</x:v>
      </x:c>
      <x:c r="D15" s="22" t="str">
        <x:v>new</x:v>
      </x:c>
      <x:c r="E15" s="22" t="str">
        <x:v>industry</x:v>
      </x:c>
      <x:c r="F15" s="28" t="n">
        <x:v>46266</x:v>
      </x:c>
      <x:c r="G15" s="28" t="n">
        <x:v>46266</x:v>
      </x:c>
      <x:c r="H15" s="22" t="str">
        <x:v>예시 담당 2</x:v>
      </x:c>
      <x:c r="I15" s="22" t="str">
        <x:v>DEMO-INTERNAL</x:v>
      </x:c>
      <x:c r="J15" s="30" t="b">
        <x:v>0</x:v>
      </x:c>
      <x:c r="K15" s="12" t="n">
        <x:f>IF(A15="",0,IF('01_설정'!$B$8="all",1,IF('01_설정'!$B$8="industry_transition",IF(OR(E15="industry",E15="transition"),1,0),IF(E15='01_설정'!$B$8,1,0))))</x:f>
        <x:v>1</x:v>
      </x:c>
      <x:c r="L15" s="12" t="n">
        <x:f>IF(A15="",0,IF(AND(K15=1,F15&lt;='01_설정'!$B$6,G15&lt;='01_설정'!$B$7),1,0))</x:f>
        <x:v>1</x:v>
      </x:c>
      <x:c r="M15" s="12" t="n">
        <x:f>IF(A15="",0,_xlfn.MAXIFS('13_검토이력'!$P$6:$P$305,'13_검토이력'!$B$6:$B$305,A15,'13_검토이력'!$O$6:$O$305,1))</x:f>
        <x:v>4629700030</x:v>
      </x:c>
      <x:c r="N15" s="12" t="n">
        <x:f>IF(A15="",9,IF(M15=0,9,SUMIFS('13_검토이력'!$N$6:$N$305,'13_검토이력'!$P$6:$P$305,M15)))</x:f>
        <x:v>2</x:v>
      </x:c>
      <x:c r="O15" s="12" t="str">
        <x:f>IF(A15="","",INDEX('17_코드북'!$B$6:$B$15,N15+1))</x:f>
        <x:v>관장기관 검토</x:v>
      </x:c>
      <x:c r="P15" s="40" t="n">
        <x:f>IF(A15="",0,_xlfn.MAXIFS('13_검토이력'!$D$6:$D$305,'13_검토이력'!$B$6:$B$305,A15,'13_검토이력'!$O$6:$O$305,1,'13_검토이력'!$Q$6:$Q$305,1))</x:f>
        <x:v>46269</x:v>
      </x:c>
      <x:c r="Q15" s="12" t="n">
        <x:f>IF(OR(L15=0,P15=0),"",'01_설정'!$B$6-P15)</x:f>
        <x:v>39</x:v>
      </x:c>
      <x:c r="R15" s="12" t="n">
        <x:f>IF(OR(L15=0,M15=0),0,SUMIFS('13_검토이력'!$S$6:$S$305,'13_검토이력'!$P$6:$P$305,M15))</x:f>
        <x:v>0</x:v>
      </x:c>
      <x:c r="S15" s="12" t="n">
        <x:f>IF(AND(L15=1,N15&gt;=1,N15&lt;=4),1,0)</x:f>
        <x:v>1</x:v>
      </x:c>
      <x:c r="T15" s="12" t="n">
        <x:f>IF(AND(S15=1,Q15&gt;'01_설정'!$B$10),1,0)</x:f>
        <x:v>0</x:v>
      </x:c>
      <x:c r="U15" s="12" t="n">
        <x:f>IF(AND(L15=1,N15=5),1,0)</x:f>
        <x:v>0</x:v>
      </x:c>
      <x:c r="V15" s="12" t="str">
        <x:f>IF(AND(L15=1,N15&gt;=6,N15&lt;=8,P15&gt;0),P15-F15,"")</x:f>
      </x:c>
      <x:c r="W15" s="12" t="str">
        <x:f>IF(OR(A15="",M15=0),"",IFERROR(INDEX('13_검토이력'!$L$6:$L$305,MATCH(M15,'13_검토이력'!$P$6:$P$305,0)),""))</x:f>
        <x:v>다음 단계 확인</x:v>
      </x:c>
      <x:c r="X15" s="12" t="n">
        <x:f>IF(A15="",0,IF(COUNTIF('12_신청'!$A$6:$A$105,A15)&gt;1,1,0))</x:f>
        <x:v>0</x:v>
      </x:c>
    </x:row>
    <x:row r="16" ht="20" customHeight="1">
      <x:c r="A16" s="22"/>
      <x:c r="B16" s="22"/>
      <x:c r="C16" s="26"/>
      <x:c r="D16" s="22"/>
      <x:c r="E16" s="22"/>
      <x:c r="F16" s="28"/>
      <x:c r="G16" s="28"/>
      <x:c r="H16" s="22"/>
      <x:c r="I16" s="22"/>
      <x:c r="J16" s="22"/>
      <x:c r="K16" s="12" t="n">
        <x:f>IF(A16="",0,IF('01_설정'!$B$8="all",1,IF('01_설정'!$B$8="industry_transition",IF(OR(E16="industry",E16="transition"),1,0),IF(E16='01_설정'!$B$8,1,0))))</x:f>
        <x:v>0</x:v>
      </x:c>
      <x:c r="L16" s="12" t="n">
        <x:f>IF(A16="",0,IF(AND(K16=1,F16&lt;='01_설정'!$B$6,G16&lt;='01_설정'!$B$7),1,0))</x:f>
        <x:v>0</x:v>
      </x:c>
      <x:c r="M16" s="12" t="n">
        <x:f>IF(A16="",0,_xlfn.MAXIFS('13_검토이력'!$P$6:$P$305,'13_검토이력'!$B$6:$B$305,A16,'13_검토이력'!$O$6:$O$305,1))</x:f>
        <x:v>0</x:v>
      </x:c>
      <x:c r="N16" s="12" t="n">
        <x:f>IF(A16="",9,IF(M16=0,9,SUMIFS('13_검토이력'!$N$6:$N$305,'13_검토이력'!$P$6:$P$305,M16)))</x:f>
        <x:v>9</x:v>
      </x:c>
      <x:c r="O16" s="12" t="str">
        <x:f>IF(A16="","",INDEX('17_코드북'!$B$6:$B$15,N16+1))</x:f>
      </x:c>
      <x:c r="P16" s="40" t="n">
        <x:f>IF(A16="",0,_xlfn.MAXIFS('13_검토이력'!$D$6:$D$305,'13_검토이력'!$B$6:$B$305,A16,'13_검토이력'!$O$6:$O$305,1,'13_검토이력'!$Q$6:$Q$305,1))</x:f>
        <x:v>0</x:v>
      </x:c>
      <x:c r="Q16" s="12" t="str">
        <x:f>IF(OR(L16=0,P16=0),"",'01_설정'!$B$6-P16)</x:f>
      </x:c>
      <x:c r="R16" s="12" t="n">
        <x:f>IF(OR(L16=0,M16=0),0,SUMIFS('13_검토이력'!$S$6:$S$305,'13_검토이력'!$P$6:$P$305,M16))</x:f>
        <x:v>0</x:v>
      </x:c>
      <x:c r="S16" s="12" t="n">
        <x:f>IF(AND(L16=1,N16&gt;=1,N16&lt;=4),1,0)</x:f>
        <x:v>0</x:v>
      </x:c>
      <x:c r="T16" s="12" t="n">
        <x:f>IF(AND(S16=1,Q16&gt;'01_설정'!$B$10),1,0)</x:f>
        <x:v>0</x:v>
      </x:c>
      <x:c r="U16" s="12" t="n">
        <x:f>IF(AND(L16=1,N16=5),1,0)</x:f>
        <x:v>0</x:v>
      </x:c>
      <x:c r="V16" s="12" t="str">
        <x:f>IF(AND(L16=1,N16&gt;=6,N16&lt;=8,P16&gt;0),P16-F16,"")</x:f>
      </x:c>
      <x:c r="W16" s="12" t="str">
        <x:f>IF(OR(A16="",M16=0),"",IFERROR(INDEX('13_검토이력'!$L$6:$L$305,MATCH(M16,'13_검토이력'!$P$6:$P$305,0)),""))</x:f>
      </x:c>
      <x:c r="X16" s="12" t="n">
        <x:f>IF(A16="",0,IF(COUNTIF('12_신청'!$A$6:$A$105,A16)&gt;1,1,0))</x:f>
        <x:v>0</x:v>
      </x:c>
    </x:row>
    <x:row r="17" ht="20" customHeight="1">
      <x:c r="A17" s="22"/>
      <x:c r="B17" s="22"/>
      <x:c r="C17" s="26"/>
      <x:c r="D17" s="22"/>
      <x:c r="E17" s="22"/>
      <x:c r="F17" s="28"/>
      <x:c r="G17" s="28"/>
      <x:c r="H17" s="22"/>
      <x:c r="I17" s="22"/>
      <x:c r="J17" s="22"/>
      <x:c r="K17" s="12" t="n">
        <x:f>IF(A17="",0,IF('01_설정'!$B$8="all",1,IF('01_설정'!$B$8="industry_transition",IF(OR(E17="industry",E17="transition"),1,0),IF(E17='01_설정'!$B$8,1,0))))</x:f>
        <x:v>0</x:v>
      </x:c>
      <x:c r="L17" s="12" t="n">
        <x:f>IF(A17="",0,IF(AND(K17=1,F17&lt;='01_설정'!$B$6,G17&lt;='01_설정'!$B$7),1,0))</x:f>
        <x:v>0</x:v>
      </x:c>
      <x:c r="M17" s="12" t="n">
        <x:f>IF(A17="",0,_xlfn.MAXIFS('13_검토이력'!$P$6:$P$305,'13_검토이력'!$B$6:$B$305,A17,'13_검토이력'!$O$6:$O$305,1))</x:f>
        <x:v>0</x:v>
      </x:c>
      <x:c r="N17" s="12" t="n">
        <x:f>IF(A17="",9,IF(M17=0,9,SUMIFS('13_검토이력'!$N$6:$N$305,'13_검토이력'!$P$6:$P$305,M17)))</x:f>
        <x:v>9</x:v>
      </x:c>
      <x:c r="O17" s="12" t="str">
        <x:f>IF(A17="","",INDEX('17_코드북'!$B$6:$B$15,N17+1))</x:f>
      </x:c>
      <x:c r="P17" s="40" t="n">
        <x:f>IF(A17="",0,_xlfn.MAXIFS('13_검토이력'!$D$6:$D$305,'13_검토이력'!$B$6:$B$305,A17,'13_검토이력'!$O$6:$O$305,1,'13_검토이력'!$Q$6:$Q$305,1))</x:f>
        <x:v>0</x:v>
      </x:c>
      <x:c r="Q17" s="12" t="str">
        <x:f>IF(OR(L17=0,P17=0),"",'01_설정'!$B$6-P17)</x:f>
      </x:c>
      <x:c r="R17" s="12" t="n">
        <x:f>IF(OR(L17=0,M17=0),0,SUMIFS('13_검토이력'!$S$6:$S$305,'13_검토이력'!$P$6:$P$305,M17))</x:f>
        <x:v>0</x:v>
      </x:c>
      <x:c r="S17" s="12" t="n">
        <x:f>IF(AND(L17=1,N17&gt;=1,N17&lt;=4),1,0)</x:f>
        <x:v>0</x:v>
      </x:c>
      <x:c r="T17" s="12" t="n">
        <x:f>IF(AND(S17=1,Q17&gt;'01_설정'!$B$10),1,0)</x:f>
        <x:v>0</x:v>
      </x:c>
      <x:c r="U17" s="12" t="n">
        <x:f>IF(AND(L17=1,N17=5),1,0)</x:f>
        <x:v>0</x:v>
      </x:c>
      <x:c r="V17" s="12" t="str">
        <x:f>IF(AND(L17=1,N17&gt;=6,N17&lt;=8,P17&gt;0),P17-F17,"")</x:f>
      </x:c>
      <x:c r="W17" s="12" t="str">
        <x:f>IF(OR(A17="",M17=0),"",IFERROR(INDEX('13_검토이력'!$L$6:$L$305,MATCH(M17,'13_검토이력'!$P$6:$P$305,0)),""))</x:f>
      </x:c>
      <x:c r="X17" s="12" t="n">
        <x:f>IF(A17="",0,IF(COUNTIF('12_신청'!$A$6:$A$105,A17)&gt;1,1,0))</x:f>
        <x:v>0</x:v>
      </x:c>
    </x:row>
    <x:row r="18" ht="20" customHeight="1">
      <x:c r="A18" s="22"/>
      <x:c r="B18" s="22"/>
      <x:c r="C18" s="26"/>
      <x:c r="D18" s="22"/>
      <x:c r="E18" s="22"/>
      <x:c r="F18" s="28"/>
      <x:c r="G18" s="28"/>
      <x:c r="H18" s="22"/>
      <x:c r="I18" s="22"/>
      <x:c r="J18" s="22"/>
      <x:c r="K18" s="12" t="n">
        <x:f>IF(A18="",0,IF('01_설정'!$B$8="all",1,IF('01_설정'!$B$8="industry_transition",IF(OR(E18="industry",E18="transition"),1,0),IF(E18='01_설정'!$B$8,1,0))))</x:f>
        <x:v>0</x:v>
      </x:c>
      <x:c r="L18" s="12" t="n">
        <x:f>IF(A18="",0,IF(AND(K18=1,F18&lt;='01_설정'!$B$6,G18&lt;='01_설정'!$B$7),1,0))</x:f>
        <x:v>0</x:v>
      </x:c>
      <x:c r="M18" s="12" t="n">
        <x:f>IF(A18="",0,_xlfn.MAXIFS('13_검토이력'!$P$6:$P$305,'13_검토이력'!$B$6:$B$305,A18,'13_검토이력'!$O$6:$O$305,1))</x:f>
        <x:v>0</x:v>
      </x:c>
      <x:c r="N18" s="12" t="n">
        <x:f>IF(A18="",9,IF(M18=0,9,SUMIFS('13_검토이력'!$N$6:$N$305,'13_검토이력'!$P$6:$P$305,M18)))</x:f>
        <x:v>9</x:v>
      </x:c>
      <x:c r="O18" s="12" t="str">
        <x:f>IF(A18="","",INDEX('17_코드북'!$B$6:$B$15,N18+1))</x:f>
      </x:c>
      <x:c r="P18" s="40" t="n">
        <x:f>IF(A18="",0,_xlfn.MAXIFS('13_검토이력'!$D$6:$D$305,'13_검토이력'!$B$6:$B$305,A18,'13_검토이력'!$O$6:$O$305,1,'13_검토이력'!$Q$6:$Q$305,1))</x:f>
        <x:v>0</x:v>
      </x:c>
      <x:c r="Q18" s="12" t="str">
        <x:f>IF(OR(L18=0,P18=0),"",'01_설정'!$B$6-P18)</x:f>
      </x:c>
      <x:c r="R18" s="12" t="n">
        <x:f>IF(OR(L18=0,M18=0),0,SUMIFS('13_검토이력'!$S$6:$S$305,'13_검토이력'!$P$6:$P$305,M18))</x:f>
        <x:v>0</x:v>
      </x:c>
      <x:c r="S18" s="12" t="n">
        <x:f>IF(AND(L18=1,N18&gt;=1,N18&lt;=4),1,0)</x:f>
        <x:v>0</x:v>
      </x:c>
      <x:c r="T18" s="12" t="n">
        <x:f>IF(AND(S18=1,Q18&gt;'01_설정'!$B$10),1,0)</x:f>
        <x:v>0</x:v>
      </x:c>
      <x:c r="U18" s="12" t="n">
        <x:f>IF(AND(L18=1,N18=5),1,0)</x:f>
        <x:v>0</x:v>
      </x:c>
      <x:c r="V18" s="12" t="str">
        <x:f>IF(AND(L18=1,N18&gt;=6,N18&lt;=8,P18&gt;0),P18-F18,"")</x:f>
      </x:c>
      <x:c r="W18" s="12" t="str">
        <x:f>IF(OR(A18="",M18=0),"",IFERROR(INDEX('13_검토이력'!$L$6:$L$305,MATCH(M18,'13_검토이력'!$P$6:$P$305,0)),""))</x:f>
      </x:c>
      <x:c r="X18" s="12" t="n">
        <x:f>IF(A18="",0,IF(COUNTIF('12_신청'!$A$6:$A$105,A18)&gt;1,1,0))</x:f>
        <x:v>0</x:v>
      </x:c>
    </x:row>
    <x:row r="19" ht="20" customHeight="1">
      <x:c r="A19" s="22"/>
      <x:c r="B19" s="22"/>
      <x:c r="C19" s="26"/>
      <x:c r="D19" s="22"/>
      <x:c r="E19" s="22"/>
      <x:c r="F19" s="28"/>
      <x:c r="G19" s="28"/>
      <x:c r="H19" s="22"/>
      <x:c r="I19" s="22"/>
      <x:c r="J19" s="22"/>
      <x:c r="K19" s="12" t="n">
        <x:f>IF(A19="",0,IF('01_설정'!$B$8="all",1,IF('01_설정'!$B$8="industry_transition",IF(OR(E19="industry",E19="transition"),1,0),IF(E19='01_설정'!$B$8,1,0))))</x:f>
        <x:v>0</x:v>
      </x:c>
      <x:c r="L19" s="12" t="n">
        <x:f>IF(A19="",0,IF(AND(K19=1,F19&lt;='01_설정'!$B$6,G19&lt;='01_설정'!$B$7),1,0))</x:f>
        <x:v>0</x:v>
      </x:c>
      <x:c r="M19" s="12" t="n">
        <x:f>IF(A19="",0,_xlfn.MAXIFS('13_검토이력'!$P$6:$P$305,'13_검토이력'!$B$6:$B$305,A19,'13_검토이력'!$O$6:$O$305,1))</x:f>
        <x:v>0</x:v>
      </x:c>
      <x:c r="N19" s="12" t="n">
        <x:f>IF(A19="",9,IF(M19=0,9,SUMIFS('13_검토이력'!$N$6:$N$305,'13_검토이력'!$P$6:$P$305,M19)))</x:f>
        <x:v>9</x:v>
      </x:c>
      <x:c r="O19" s="12" t="str">
        <x:f>IF(A19="","",INDEX('17_코드북'!$B$6:$B$15,N19+1))</x:f>
      </x:c>
      <x:c r="P19" s="40" t="n">
        <x:f>IF(A19="",0,_xlfn.MAXIFS('13_검토이력'!$D$6:$D$305,'13_검토이력'!$B$6:$B$305,A19,'13_검토이력'!$O$6:$O$305,1,'13_검토이력'!$Q$6:$Q$305,1))</x:f>
        <x:v>0</x:v>
      </x:c>
      <x:c r="Q19" s="12" t="str">
        <x:f>IF(OR(L19=0,P19=0),"",'01_설정'!$B$6-P19)</x:f>
      </x:c>
      <x:c r="R19" s="12" t="n">
        <x:f>IF(OR(L19=0,M19=0),0,SUMIFS('13_검토이력'!$S$6:$S$305,'13_검토이력'!$P$6:$P$305,M19))</x:f>
        <x:v>0</x:v>
      </x:c>
      <x:c r="S19" s="12" t="n">
        <x:f>IF(AND(L19=1,N19&gt;=1,N19&lt;=4),1,0)</x:f>
        <x:v>0</x:v>
      </x:c>
      <x:c r="T19" s="12" t="n">
        <x:f>IF(AND(S19=1,Q19&gt;'01_설정'!$B$10),1,0)</x:f>
        <x:v>0</x:v>
      </x:c>
      <x:c r="U19" s="12" t="n">
        <x:f>IF(AND(L19=1,N19=5),1,0)</x:f>
        <x:v>0</x:v>
      </x:c>
      <x:c r="V19" s="12" t="str">
        <x:f>IF(AND(L19=1,N19&gt;=6,N19&lt;=8,P19&gt;0),P19-F19,"")</x:f>
      </x:c>
      <x:c r="W19" s="12" t="str">
        <x:f>IF(OR(A19="",M19=0),"",IFERROR(INDEX('13_검토이력'!$L$6:$L$305,MATCH(M19,'13_검토이력'!$P$6:$P$305,0)),""))</x:f>
      </x:c>
      <x:c r="X19" s="12" t="n">
        <x:f>IF(A19="",0,IF(COUNTIF('12_신청'!$A$6:$A$105,A19)&gt;1,1,0))</x:f>
        <x:v>0</x:v>
      </x:c>
    </x:row>
    <x:row r="20" ht="20" customHeight="1">
      <x:c r="A20" s="22"/>
      <x:c r="B20" s="22"/>
      <x:c r="C20" s="26"/>
      <x:c r="D20" s="22"/>
      <x:c r="E20" s="22"/>
      <x:c r="F20" s="28"/>
      <x:c r="G20" s="28"/>
      <x:c r="H20" s="22"/>
      <x:c r="I20" s="22"/>
      <x:c r="J20" s="22"/>
      <x:c r="K20" s="12" t="n">
        <x:f>IF(A20="",0,IF('01_설정'!$B$8="all",1,IF('01_설정'!$B$8="industry_transition",IF(OR(E20="industry",E20="transition"),1,0),IF(E20='01_설정'!$B$8,1,0))))</x:f>
        <x:v>0</x:v>
      </x:c>
      <x:c r="L20" s="12" t="n">
        <x:f>IF(A20="",0,IF(AND(K20=1,F20&lt;='01_설정'!$B$6,G20&lt;='01_설정'!$B$7),1,0))</x:f>
        <x:v>0</x:v>
      </x:c>
      <x:c r="M20" s="12" t="n">
        <x:f>IF(A20="",0,_xlfn.MAXIFS('13_검토이력'!$P$6:$P$305,'13_검토이력'!$B$6:$B$305,A20,'13_검토이력'!$O$6:$O$305,1))</x:f>
        <x:v>0</x:v>
      </x:c>
      <x:c r="N20" s="12" t="n">
        <x:f>IF(A20="",9,IF(M20=0,9,SUMIFS('13_검토이력'!$N$6:$N$305,'13_검토이력'!$P$6:$P$305,M20)))</x:f>
        <x:v>9</x:v>
      </x:c>
      <x:c r="O20" s="12" t="str">
        <x:f>IF(A20="","",INDEX('17_코드북'!$B$6:$B$15,N20+1))</x:f>
      </x:c>
      <x:c r="P20" s="40" t="n">
        <x:f>IF(A20="",0,_xlfn.MAXIFS('13_검토이력'!$D$6:$D$305,'13_검토이력'!$B$6:$B$305,A20,'13_검토이력'!$O$6:$O$305,1,'13_검토이력'!$Q$6:$Q$305,1))</x:f>
        <x:v>0</x:v>
      </x:c>
      <x:c r="Q20" s="12" t="str">
        <x:f>IF(OR(L20=0,P20=0),"",'01_설정'!$B$6-P20)</x:f>
      </x:c>
      <x:c r="R20" s="12" t="n">
        <x:f>IF(OR(L20=0,M20=0),0,SUMIFS('13_검토이력'!$S$6:$S$305,'13_검토이력'!$P$6:$P$305,M20))</x:f>
        <x:v>0</x:v>
      </x:c>
      <x:c r="S20" s="12" t="n">
        <x:f>IF(AND(L20=1,N20&gt;=1,N20&lt;=4),1,0)</x:f>
        <x:v>0</x:v>
      </x:c>
      <x:c r="T20" s="12" t="n">
        <x:f>IF(AND(S20=1,Q20&gt;'01_설정'!$B$10),1,0)</x:f>
        <x:v>0</x:v>
      </x:c>
      <x:c r="U20" s="12" t="n">
        <x:f>IF(AND(L20=1,N20=5),1,0)</x:f>
        <x:v>0</x:v>
      </x:c>
      <x:c r="V20" s="12" t="str">
        <x:f>IF(AND(L20=1,N20&gt;=6,N20&lt;=8,P20&gt;0),P20-F20,"")</x:f>
      </x:c>
      <x:c r="W20" s="12" t="str">
        <x:f>IF(OR(A20="",M20=0),"",IFERROR(INDEX('13_검토이력'!$L$6:$L$305,MATCH(M20,'13_검토이력'!$P$6:$P$305,0)),""))</x:f>
      </x:c>
      <x:c r="X20" s="12" t="n">
        <x:f>IF(A20="",0,IF(COUNTIF('12_신청'!$A$6:$A$105,A20)&gt;1,1,0))</x:f>
        <x:v>0</x:v>
      </x:c>
    </x:row>
    <x:row r="21" ht="20" customHeight="1">
      <x:c r="A21" s="22"/>
      <x:c r="B21" s="22"/>
      <x:c r="C21" s="26"/>
      <x:c r="D21" s="22"/>
      <x:c r="E21" s="22"/>
      <x:c r="F21" s="28"/>
      <x:c r="G21" s="28"/>
      <x:c r="H21" s="22"/>
      <x:c r="I21" s="22"/>
      <x:c r="J21" s="22"/>
      <x:c r="K21" s="12" t="n">
        <x:f>IF(A21="",0,IF('01_설정'!$B$8="all",1,IF('01_설정'!$B$8="industry_transition",IF(OR(E21="industry",E21="transition"),1,0),IF(E21='01_설정'!$B$8,1,0))))</x:f>
        <x:v>0</x:v>
      </x:c>
      <x:c r="L21" s="12" t="n">
        <x:f>IF(A21="",0,IF(AND(K21=1,F21&lt;='01_설정'!$B$6,G21&lt;='01_설정'!$B$7),1,0))</x:f>
        <x:v>0</x:v>
      </x:c>
      <x:c r="M21" s="12" t="n">
        <x:f>IF(A21="",0,_xlfn.MAXIFS('13_검토이력'!$P$6:$P$305,'13_검토이력'!$B$6:$B$305,A21,'13_검토이력'!$O$6:$O$305,1))</x:f>
        <x:v>0</x:v>
      </x:c>
      <x:c r="N21" s="12" t="n">
        <x:f>IF(A21="",9,IF(M21=0,9,SUMIFS('13_검토이력'!$N$6:$N$305,'13_검토이력'!$P$6:$P$305,M21)))</x:f>
        <x:v>9</x:v>
      </x:c>
      <x:c r="O21" s="12" t="str">
        <x:f>IF(A21="","",INDEX('17_코드북'!$B$6:$B$15,N21+1))</x:f>
      </x:c>
      <x:c r="P21" s="40" t="n">
        <x:f>IF(A21="",0,_xlfn.MAXIFS('13_검토이력'!$D$6:$D$305,'13_검토이력'!$B$6:$B$305,A21,'13_검토이력'!$O$6:$O$305,1,'13_검토이력'!$Q$6:$Q$305,1))</x:f>
        <x:v>0</x:v>
      </x:c>
      <x:c r="Q21" s="12" t="str">
        <x:f>IF(OR(L21=0,P21=0),"",'01_설정'!$B$6-P21)</x:f>
      </x:c>
      <x:c r="R21" s="12" t="n">
        <x:f>IF(OR(L21=0,M21=0),0,SUMIFS('13_검토이력'!$S$6:$S$305,'13_검토이력'!$P$6:$P$305,M21))</x:f>
        <x:v>0</x:v>
      </x:c>
      <x:c r="S21" s="12" t="n">
        <x:f>IF(AND(L21=1,N21&gt;=1,N21&lt;=4),1,0)</x:f>
        <x:v>0</x:v>
      </x:c>
      <x:c r="T21" s="12" t="n">
        <x:f>IF(AND(S21=1,Q21&gt;'01_설정'!$B$10),1,0)</x:f>
        <x:v>0</x:v>
      </x:c>
      <x:c r="U21" s="12" t="n">
        <x:f>IF(AND(L21=1,N21=5),1,0)</x:f>
        <x:v>0</x:v>
      </x:c>
      <x:c r="V21" s="12" t="str">
        <x:f>IF(AND(L21=1,N21&gt;=6,N21&lt;=8,P21&gt;0),P21-F21,"")</x:f>
      </x:c>
      <x:c r="W21" s="12" t="str">
        <x:f>IF(OR(A21="",M21=0),"",IFERROR(INDEX('13_검토이력'!$L$6:$L$305,MATCH(M21,'13_검토이력'!$P$6:$P$305,0)),""))</x:f>
      </x:c>
      <x:c r="X21" s="12" t="n">
        <x:f>IF(A21="",0,IF(COUNTIF('12_신청'!$A$6:$A$105,A21)&gt;1,1,0))</x:f>
        <x:v>0</x:v>
      </x:c>
    </x:row>
    <x:row r="22" ht="20" customHeight="1">
      <x:c r="A22" s="22"/>
      <x:c r="B22" s="22"/>
      <x:c r="C22" s="26"/>
      <x:c r="D22" s="22"/>
      <x:c r="E22" s="22"/>
      <x:c r="F22" s="28"/>
      <x:c r="G22" s="28"/>
      <x:c r="H22" s="22"/>
      <x:c r="I22" s="22"/>
      <x:c r="J22" s="22"/>
      <x:c r="K22" s="12" t="n">
        <x:f>IF(A22="",0,IF('01_설정'!$B$8="all",1,IF('01_설정'!$B$8="industry_transition",IF(OR(E22="industry",E22="transition"),1,0),IF(E22='01_설정'!$B$8,1,0))))</x:f>
        <x:v>0</x:v>
      </x:c>
      <x:c r="L22" s="12" t="n">
        <x:f>IF(A22="",0,IF(AND(K22=1,F22&lt;='01_설정'!$B$6,G22&lt;='01_설정'!$B$7),1,0))</x:f>
        <x:v>0</x:v>
      </x:c>
      <x:c r="M22" s="12" t="n">
        <x:f>IF(A22="",0,_xlfn.MAXIFS('13_검토이력'!$P$6:$P$305,'13_검토이력'!$B$6:$B$305,A22,'13_검토이력'!$O$6:$O$305,1))</x:f>
        <x:v>0</x:v>
      </x:c>
      <x:c r="N22" s="12" t="n">
        <x:f>IF(A22="",9,IF(M22=0,9,SUMIFS('13_검토이력'!$N$6:$N$305,'13_검토이력'!$P$6:$P$305,M22)))</x:f>
        <x:v>9</x:v>
      </x:c>
      <x:c r="O22" s="12" t="str">
        <x:f>IF(A22="","",INDEX('17_코드북'!$B$6:$B$15,N22+1))</x:f>
      </x:c>
      <x:c r="P22" s="40" t="n">
        <x:f>IF(A22="",0,_xlfn.MAXIFS('13_검토이력'!$D$6:$D$305,'13_검토이력'!$B$6:$B$305,A22,'13_검토이력'!$O$6:$O$305,1,'13_검토이력'!$Q$6:$Q$305,1))</x:f>
        <x:v>0</x:v>
      </x:c>
      <x:c r="Q22" s="12" t="str">
        <x:f>IF(OR(L22=0,P22=0),"",'01_설정'!$B$6-P22)</x:f>
      </x:c>
      <x:c r="R22" s="12" t="n">
        <x:f>IF(OR(L22=0,M22=0),0,SUMIFS('13_검토이력'!$S$6:$S$305,'13_검토이력'!$P$6:$P$305,M22))</x:f>
        <x:v>0</x:v>
      </x:c>
      <x:c r="S22" s="12" t="n">
        <x:f>IF(AND(L22=1,N22&gt;=1,N22&lt;=4),1,0)</x:f>
        <x:v>0</x:v>
      </x:c>
      <x:c r="T22" s="12" t="n">
        <x:f>IF(AND(S22=1,Q22&gt;'01_설정'!$B$10),1,0)</x:f>
        <x:v>0</x:v>
      </x:c>
      <x:c r="U22" s="12" t="n">
        <x:f>IF(AND(L22=1,N22=5),1,0)</x:f>
        <x:v>0</x:v>
      </x:c>
      <x:c r="V22" s="12" t="str">
        <x:f>IF(AND(L22=1,N22&gt;=6,N22&lt;=8,P22&gt;0),P22-F22,"")</x:f>
      </x:c>
      <x:c r="W22" s="12" t="str">
        <x:f>IF(OR(A22="",M22=0),"",IFERROR(INDEX('13_검토이력'!$L$6:$L$305,MATCH(M22,'13_검토이력'!$P$6:$P$305,0)),""))</x:f>
      </x:c>
      <x:c r="X22" s="12" t="n">
        <x:f>IF(A22="",0,IF(COUNTIF('12_신청'!$A$6:$A$105,A22)&gt;1,1,0))</x:f>
        <x:v>0</x:v>
      </x:c>
    </x:row>
    <x:row r="23" ht="20" customHeight="1">
      <x:c r="A23" s="22"/>
      <x:c r="B23" s="22"/>
      <x:c r="C23" s="26"/>
      <x:c r="D23" s="22"/>
      <x:c r="E23" s="22"/>
      <x:c r="F23" s="28"/>
      <x:c r="G23" s="28"/>
      <x:c r="H23" s="22"/>
      <x:c r="I23" s="22"/>
      <x:c r="J23" s="22"/>
      <x:c r="K23" s="12" t="n">
        <x:f>IF(A23="",0,IF('01_설정'!$B$8="all",1,IF('01_설정'!$B$8="industry_transition",IF(OR(E23="industry",E23="transition"),1,0),IF(E23='01_설정'!$B$8,1,0))))</x:f>
        <x:v>0</x:v>
      </x:c>
      <x:c r="L23" s="12" t="n">
        <x:f>IF(A23="",0,IF(AND(K23=1,F23&lt;='01_설정'!$B$6,G23&lt;='01_설정'!$B$7),1,0))</x:f>
        <x:v>0</x:v>
      </x:c>
      <x:c r="M23" s="12" t="n">
        <x:f>IF(A23="",0,_xlfn.MAXIFS('13_검토이력'!$P$6:$P$305,'13_검토이력'!$B$6:$B$305,A23,'13_검토이력'!$O$6:$O$305,1))</x:f>
        <x:v>0</x:v>
      </x:c>
      <x:c r="N23" s="12" t="n">
        <x:f>IF(A23="",9,IF(M23=0,9,SUMIFS('13_검토이력'!$N$6:$N$305,'13_검토이력'!$P$6:$P$305,M23)))</x:f>
        <x:v>9</x:v>
      </x:c>
      <x:c r="O23" s="12" t="str">
        <x:f>IF(A23="","",INDEX('17_코드북'!$B$6:$B$15,N23+1))</x:f>
      </x:c>
      <x:c r="P23" s="40" t="n">
        <x:f>IF(A23="",0,_xlfn.MAXIFS('13_검토이력'!$D$6:$D$305,'13_검토이력'!$B$6:$B$305,A23,'13_검토이력'!$O$6:$O$305,1,'13_검토이력'!$Q$6:$Q$305,1))</x:f>
        <x:v>0</x:v>
      </x:c>
      <x:c r="Q23" s="12" t="str">
        <x:f>IF(OR(L23=0,P23=0),"",'01_설정'!$B$6-P23)</x:f>
      </x:c>
      <x:c r="R23" s="12" t="n">
        <x:f>IF(OR(L23=0,M23=0),0,SUMIFS('13_검토이력'!$S$6:$S$305,'13_검토이력'!$P$6:$P$305,M23))</x:f>
        <x:v>0</x:v>
      </x:c>
      <x:c r="S23" s="12" t="n">
        <x:f>IF(AND(L23=1,N23&gt;=1,N23&lt;=4),1,0)</x:f>
        <x:v>0</x:v>
      </x:c>
      <x:c r="T23" s="12" t="n">
        <x:f>IF(AND(S23=1,Q23&gt;'01_설정'!$B$10),1,0)</x:f>
        <x:v>0</x:v>
      </x:c>
      <x:c r="U23" s="12" t="n">
        <x:f>IF(AND(L23=1,N23=5),1,0)</x:f>
        <x:v>0</x:v>
      </x:c>
      <x:c r="V23" s="12" t="str">
        <x:f>IF(AND(L23=1,N23&gt;=6,N23&lt;=8,P23&gt;0),P23-F23,"")</x:f>
      </x:c>
      <x:c r="W23" s="12" t="str">
        <x:f>IF(OR(A23="",M23=0),"",IFERROR(INDEX('13_검토이력'!$L$6:$L$305,MATCH(M23,'13_검토이력'!$P$6:$P$305,0)),""))</x:f>
      </x:c>
      <x:c r="X23" s="12" t="n">
        <x:f>IF(A23="",0,IF(COUNTIF('12_신청'!$A$6:$A$105,A23)&gt;1,1,0))</x:f>
        <x:v>0</x:v>
      </x:c>
    </x:row>
    <x:row r="24" ht="20" customHeight="1">
      <x:c r="A24" s="22"/>
      <x:c r="B24" s="22"/>
      <x:c r="C24" s="26"/>
      <x:c r="D24" s="22"/>
      <x:c r="E24" s="22"/>
      <x:c r="F24" s="28"/>
      <x:c r="G24" s="28"/>
      <x:c r="H24" s="22"/>
      <x:c r="I24" s="22"/>
      <x:c r="J24" s="22"/>
      <x:c r="K24" s="12" t="n">
        <x:f>IF(A24="",0,IF('01_설정'!$B$8="all",1,IF('01_설정'!$B$8="industry_transition",IF(OR(E24="industry",E24="transition"),1,0),IF(E24='01_설정'!$B$8,1,0))))</x:f>
        <x:v>0</x:v>
      </x:c>
      <x:c r="L24" s="12" t="n">
        <x:f>IF(A24="",0,IF(AND(K24=1,F24&lt;='01_설정'!$B$6,G24&lt;='01_설정'!$B$7),1,0))</x:f>
        <x:v>0</x:v>
      </x:c>
      <x:c r="M24" s="12" t="n">
        <x:f>IF(A24="",0,_xlfn.MAXIFS('13_검토이력'!$P$6:$P$305,'13_검토이력'!$B$6:$B$305,A24,'13_검토이력'!$O$6:$O$305,1))</x:f>
        <x:v>0</x:v>
      </x:c>
      <x:c r="N24" s="12" t="n">
        <x:f>IF(A24="",9,IF(M24=0,9,SUMIFS('13_검토이력'!$N$6:$N$305,'13_검토이력'!$P$6:$P$305,M24)))</x:f>
        <x:v>9</x:v>
      </x:c>
      <x:c r="O24" s="12" t="str">
        <x:f>IF(A24="","",INDEX('17_코드북'!$B$6:$B$15,N24+1))</x:f>
      </x:c>
      <x:c r="P24" s="40" t="n">
        <x:f>IF(A24="",0,_xlfn.MAXIFS('13_검토이력'!$D$6:$D$305,'13_검토이력'!$B$6:$B$305,A24,'13_검토이력'!$O$6:$O$305,1,'13_검토이력'!$Q$6:$Q$305,1))</x:f>
        <x:v>0</x:v>
      </x:c>
      <x:c r="Q24" s="12" t="str">
        <x:f>IF(OR(L24=0,P24=0),"",'01_설정'!$B$6-P24)</x:f>
      </x:c>
      <x:c r="R24" s="12" t="n">
        <x:f>IF(OR(L24=0,M24=0),0,SUMIFS('13_검토이력'!$S$6:$S$305,'13_검토이력'!$P$6:$P$305,M24))</x:f>
        <x:v>0</x:v>
      </x:c>
      <x:c r="S24" s="12" t="n">
        <x:f>IF(AND(L24=1,N24&gt;=1,N24&lt;=4),1,0)</x:f>
        <x:v>0</x:v>
      </x:c>
      <x:c r="T24" s="12" t="n">
        <x:f>IF(AND(S24=1,Q24&gt;'01_설정'!$B$10),1,0)</x:f>
        <x:v>0</x:v>
      </x:c>
      <x:c r="U24" s="12" t="n">
        <x:f>IF(AND(L24=1,N24=5),1,0)</x:f>
        <x:v>0</x:v>
      </x:c>
      <x:c r="V24" s="12" t="str">
        <x:f>IF(AND(L24=1,N24&gt;=6,N24&lt;=8,P24&gt;0),P24-F24,"")</x:f>
      </x:c>
      <x:c r="W24" s="12" t="str">
        <x:f>IF(OR(A24="",M24=0),"",IFERROR(INDEX('13_검토이력'!$L$6:$L$305,MATCH(M24,'13_검토이력'!$P$6:$P$305,0)),""))</x:f>
      </x:c>
      <x:c r="X24" s="12" t="n">
        <x:f>IF(A24="",0,IF(COUNTIF('12_신청'!$A$6:$A$105,A24)&gt;1,1,0))</x:f>
        <x:v>0</x:v>
      </x:c>
    </x:row>
    <x:row r="25" ht="20" customHeight="1">
      <x:c r="A25" s="22"/>
      <x:c r="B25" s="22"/>
      <x:c r="C25" s="26"/>
      <x:c r="D25" s="22"/>
      <x:c r="E25" s="22"/>
      <x:c r="F25" s="28"/>
      <x:c r="G25" s="28"/>
      <x:c r="H25" s="22"/>
      <x:c r="I25" s="22"/>
      <x:c r="J25" s="22"/>
      <x:c r="K25" s="12" t="n">
        <x:f>IF(A25="",0,IF('01_설정'!$B$8="all",1,IF('01_설정'!$B$8="industry_transition",IF(OR(E25="industry",E25="transition"),1,0),IF(E25='01_설정'!$B$8,1,0))))</x:f>
        <x:v>0</x:v>
      </x:c>
      <x:c r="L25" s="12" t="n">
        <x:f>IF(A25="",0,IF(AND(K25=1,F25&lt;='01_설정'!$B$6,G25&lt;='01_설정'!$B$7),1,0))</x:f>
        <x:v>0</x:v>
      </x:c>
      <x:c r="M25" s="12" t="n">
        <x:f>IF(A25="",0,_xlfn.MAXIFS('13_검토이력'!$P$6:$P$305,'13_검토이력'!$B$6:$B$305,A25,'13_검토이력'!$O$6:$O$305,1))</x:f>
        <x:v>0</x:v>
      </x:c>
      <x:c r="N25" s="12" t="n">
        <x:f>IF(A25="",9,IF(M25=0,9,SUMIFS('13_검토이력'!$N$6:$N$305,'13_검토이력'!$P$6:$P$305,M25)))</x:f>
        <x:v>9</x:v>
      </x:c>
      <x:c r="O25" s="12" t="str">
        <x:f>IF(A25="","",INDEX('17_코드북'!$B$6:$B$15,N25+1))</x:f>
      </x:c>
      <x:c r="P25" s="40" t="n">
        <x:f>IF(A25="",0,_xlfn.MAXIFS('13_검토이력'!$D$6:$D$305,'13_검토이력'!$B$6:$B$305,A25,'13_검토이력'!$O$6:$O$305,1,'13_검토이력'!$Q$6:$Q$305,1))</x:f>
        <x:v>0</x:v>
      </x:c>
      <x:c r="Q25" s="12" t="str">
        <x:f>IF(OR(L25=0,P25=0),"",'01_설정'!$B$6-P25)</x:f>
      </x:c>
      <x:c r="R25" s="12" t="n">
        <x:f>IF(OR(L25=0,M25=0),0,SUMIFS('13_검토이력'!$S$6:$S$305,'13_검토이력'!$P$6:$P$305,M25))</x:f>
        <x:v>0</x:v>
      </x:c>
      <x:c r="S25" s="12" t="n">
        <x:f>IF(AND(L25=1,N25&gt;=1,N25&lt;=4),1,0)</x:f>
        <x:v>0</x:v>
      </x:c>
      <x:c r="T25" s="12" t="n">
        <x:f>IF(AND(S25=1,Q25&gt;'01_설정'!$B$10),1,0)</x:f>
        <x:v>0</x:v>
      </x:c>
      <x:c r="U25" s="12" t="n">
        <x:f>IF(AND(L25=1,N25=5),1,0)</x:f>
        <x:v>0</x:v>
      </x:c>
      <x:c r="V25" s="12" t="str">
        <x:f>IF(AND(L25=1,N25&gt;=6,N25&lt;=8,P25&gt;0),P25-F25,"")</x:f>
      </x:c>
      <x:c r="W25" s="12" t="str">
        <x:f>IF(OR(A25="",M25=0),"",IFERROR(INDEX('13_검토이력'!$L$6:$L$305,MATCH(M25,'13_검토이력'!$P$6:$P$305,0)),""))</x:f>
      </x:c>
      <x:c r="X25" s="12" t="n">
        <x:f>IF(A25="",0,IF(COUNTIF('12_신청'!$A$6:$A$105,A25)&gt;1,1,0))</x:f>
        <x:v>0</x:v>
      </x:c>
    </x:row>
    <x:row r="26" ht="20" customHeight="1">
      <x:c r="A26" s="22"/>
      <x:c r="B26" s="22"/>
      <x:c r="C26" s="26"/>
      <x:c r="D26" s="22"/>
      <x:c r="E26" s="22"/>
      <x:c r="F26" s="28"/>
      <x:c r="G26" s="28"/>
      <x:c r="H26" s="22"/>
      <x:c r="I26" s="22"/>
      <x:c r="J26" s="22"/>
      <x:c r="K26" s="12" t="n">
        <x:f>IF(A26="",0,IF('01_설정'!$B$8="all",1,IF('01_설정'!$B$8="industry_transition",IF(OR(E26="industry",E26="transition"),1,0),IF(E26='01_설정'!$B$8,1,0))))</x:f>
        <x:v>0</x:v>
      </x:c>
      <x:c r="L26" s="12" t="n">
        <x:f>IF(A26="",0,IF(AND(K26=1,F26&lt;='01_설정'!$B$6,G26&lt;='01_설정'!$B$7),1,0))</x:f>
        <x:v>0</x:v>
      </x:c>
      <x:c r="M26" s="12" t="n">
        <x:f>IF(A26="",0,_xlfn.MAXIFS('13_검토이력'!$P$6:$P$305,'13_검토이력'!$B$6:$B$305,A26,'13_검토이력'!$O$6:$O$305,1))</x:f>
        <x:v>0</x:v>
      </x:c>
      <x:c r="N26" s="12" t="n">
        <x:f>IF(A26="",9,IF(M26=0,9,SUMIFS('13_검토이력'!$N$6:$N$305,'13_검토이력'!$P$6:$P$305,M26)))</x:f>
        <x:v>9</x:v>
      </x:c>
      <x:c r="O26" s="12" t="str">
        <x:f>IF(A26="","",INDEX('17_코드북'!$B$6:$B$15,N26+1))</x:f>
      </x:c>
      <x:c r="P26" s="40" t="n">
        <x:f>IF(A26="",0,_xlfn.MAXIFS('13_검토이력'!$D$6:$D$305,'13_검토이력'!$B$6:$B$305,A26,'13_검토이력'!$O$6:$O$305,1,'13_검토이력'!$Q$6:$Q$305,1))</x:f>
        <x:v>0</x:v>
      </x:c>
      <x:c r="Q26" s="12" t="str">
        <x:f>IF(OR(L26=0,P26=0),"",'01_설정'!$B$6-P26)</x:f>
      </x:c>
      <x:c r="R26" s="12" t="n">
        <x:f>IF(OR(L26=0,M26=0),0,SUMIFS('13_검토이력'!$S$6:$S$305,'13_검토이력'!$P$6:$P$305,M26))</x:f>
        <x:v>0</x:v>
      </x:c>
      <x:c r="S26" s="12" t="n">
        <x:f>IF(AND(L26=1,N26&gt;=1,N26&lt;=4),1,0)</x:f>
        <x:v>0</x:v>
      </x:c>
      <x:c r="T26" s="12" t="n">
        <x:f>IF(AND(S26=1,Q26&gt;'01_설정'!$B$10),1,0)</x:f>
        <x:v>0</x:v>
      </x:c>
      <x:c r="U26" s="12" t="n">
        <x:f>IF(AND(L26=1,N26=5),1,0)</x:f>
        <x:v>0</x:v>
      </x:c>
      <x:c r="V26" s="12" t="str">
        <x:f>IF(AND(L26=1,N26&gt;=6,N26&lt;=8,P26&gt;0),P26-F26,"")</x:f>
      </x:c>
      <x:c r="W26" s="12" t="str">
        <x:f>IF(OR(A26="",M26=0),"",IFERROR(INDEX('13_검토이력'!$L$6:$L$305,MATCH(M26,'13_검토이력'!$P$6:$P$305,0)),""))</x:f>
      </x:c>
      <x:c r="X26" s="12" t="n">
        <x:f>IF(A26="",0,IF(COUNTIF('12_신청'!$A$6:$A$105,A26)&gt;1,1,0))</x:f>
        <x:v>0</x:v>
      </x:c>
    </x:row>
    <x:row r="27" ht="20" customHeight="1">
      <x:c r="A27" s="22"/>
      <x:c r="B27" s="22"/>
      <x:c r="C27" s="26"/>
      <x:c r="D27" s="22"/>
      <x:c r="E27" s="22"/>
      <x:c r="F27" s="28"/>
      <x:c r="G27" s="28"/>
      <x:c r="H27" s="22"/>
      <x:c r="I27" s="22"/>
      <x:c r="J27" s="22"/>
      <x:c r="K27" s="12" t="n">
        <x:f>IF(A27="",0,IF('01_설정'!$B$8="all",1,IF('01_설정'!$B$8="industry_transition",IF(OR(E27="industry",E27="transition"),1,0),IF(E27='01_설정'!$B$8,1,0))))</x:f>
        <x:v>0</x:v>
      </x:c>
      <x:c r="L27" s="12" t="n">
        <x:f>IF(A27="",0,IF(AND(K27=1,F27&lt;='01_설정'!$B$6,G27&lt;='01_설정'!$B$7),1,0))</x:f>
        <x:v>0</x:v>
      </x:c>
      <x:c r="M27" s="12" t="n">
        <x:f>IF(A27="",0,_xlfn.MAXIFS('13_검토이력'!$P$6:$P$305,'13_검토이력'!$B$6:$B$305,A27,'13_검토이력'!$O$6:$O$305,1))</x:f>
        <x:v>0</x:v>
      </x:c>
      <x:c r="N27" s="12" t="n">
        <x:f>IF(A27="",9,IF(M27=0,9,SUMIFS('13_검토이력'!$N$6:$N$305,'13_검토이력'!$P$6:$P$305,M27)))</x:f>
        <x:v>9</x:v>
      </x:c>
      <x:c r="O27" s="12" t="str">
        <x:f>IF(A27="","",INDEX('17_코드북'!$B$6:$B$15,N27+1))</x:f>
      </x:c>
      <x:c r="P27" s="40" t="n">
        <x:f>IF(A27="",0,_xlfn.MAXIFS('13_검토이력'!$D$6:$D$305,'13_검토이력'!$B$6:$B$305,A27,'13_검토이력'!$O$6:$O$305,1,'13_검토이력'!$Q$6:$Q$305,1))</x:f>
        <x:v>0</x:v>
      </x:c>
      <x:c r="Q27" s="12" t="str">
        <x:f>IF(OR(L27=0,P27=0),"",'01_설정'!$B$6-P27)</x:f>
      </x:c>
      <x:c r="R27" s="12" t="n">
        <x:f>IF(OR(L27=0,M27=0),0,SUMIFS('13_검토이력'!$S$6:$S$305,'13_검토이력'!$P$6:$P$305,M27))</x:f>
        <x:v>0</x:v>
      </x:c>
      <x:c r="S27" s="12" t="n">
        <x:f>IF(AND(L27=1,N27&gt;=1,N27&lt;=4),1,0)</x:f>
        <x:v>0</x:v>
      </x:c>
      <x:c r="T27" s="12" t="n">
        <x:f>IF(AND(S27=1,Q27&gt;'01_설정'!$B$10),1,0)</x:f>
        <x:v>0</x:v>
      </x:c>
      <x:c r="U27" s="12" t="n">
        <x:f>IF(AND(L27=1,N27=5),1,0)</x:f>
        <x:v>0</x:v>
      </x:c>
      <x:c r="V27" s="12" t="str">
        <x:f>IF(AND(L27=1,N27&gt;=6,N27&lt;=8,P27&gt;0),P27-F27,"")</x:f>
      </x:c>
      <x:c r="W27" s="12" t="str">
        <x:f>IF(OR(A27="",M27=0),"",IFERROR(INDEX('13_검토이력'!$L$6:$L$305,MATCH(M27,'13_검토이력'!$P$6:$P$305,0)),""))</x:f>
      </x:c>
      <x:c r="X27" s="12" t="n">
        <x:f>IF(A27="",0,IF(COUNTIF('12_신청'!$A$6:$A$105,A27)&gt;1,1,0))</x:f>
        <x:v>0</x:v>
      </x:c>
    </x:row>
    <x:row r="28" ht="20" customHeight="1">
      <x:c r="A28" s="22"/>
      <x:c r="B28" s="22"/>
      <x:c r="C28" s="26"/>
      <x:c r="D28" s="22"/>
      <x:c r="E28" s="22"/>
      <x:c r="F28" s="28"/>
      <x:c r="G28" s="28"/>
      <x:c r="H28" s="22"/>
      <x:c r="I28" s="22"/>
      <x:c r="J28" s="22"/>
      <x:c r="K28" s="12" t="n">
        <x:f>IF(A28="",0,IF('01_설정'!$B$8="all",1,IF('01_설정'!$B$8="industry_transition",IF(OR(E28="industry",E28="transition"),1,0),IF(E28='01_설정'!$B$8,1,0))))</x:f>
        <x:v>0</x:v>
      </x:c>
      <x:c r="L28" s="12" t="n">
        <x:f>IF(A28="",0,IF(AND(K28=1,F28&lt;='01_설정'!$B$6,G28&lt;='01_설정'!$B$7),1,0))</x:f>
        <x:v>0</x:v>
      </x:c>
      <x:c r="M28" s="12" t="n">
        <x:f>IF(A28="",0,_xlfn.MAXIFS('13_검토이력'!$P$6:$P$305,'13_검토이력'!$B$6:$B$305,A28,'13_검토이력'!$O$6:$O$305,1))</x:f>
        <x:v>0</x:v>
      </x:c>
      <x:c r="N28" s="12" t="n">
        <x:f>IF(A28="",9,IF(M28=0,9,SUMIFS('13_검토이력'!$N$6:$N$305,'13_검토이력'!$P$6:$P$305,M28)))</x:f>
        <x:v>9</x:v>
      </x:c>
      <x:c r="O28" s="12" t="str">
        <x:f>IF(A28="","",INDEX('17_코드북'!$B$6:$B$15,N28+1))</x:f>
      </x:c>
      <x:c r="P28" s="40" t="n">
        <x:f>IF(A28="",0,_xlfn.MAXIFS('13_검토이력'!$D$6:$D$305,'13_검토이력'!$B$6:$B$305,A28,'13_검토이력'!$O$6:$O$305,1,'13_검토이력'!$Q$6:$Q$305,1))</x:f>
        <x:v>0</x:v>
      </x:c>
      <x:c r="Q28" s="12" t="str">
        <x:f>IF(OR(L28=0,P28=0),"",'01_설정'!$B$6-P28)</x:f>
      </x:c>
      <x:c r="R28" s="12" t="n">
        <x:f>IF(OR(L28=0,M28=0),0,SUMIFS('13_검토이력'!$S$6:$S$305,'13_검토이력'!$P$6:$P$305,M28))</x:f>
        <x:v>0</x:v>
      </x:c>
      <x:c r="S28" s="12" t="n">
        <x:f>IF(AND(L28=1,N28&gt;=1,N28&lt;=4),1,0)</x:f>
        <x:v>0</x:v>
      </x:c>
      <x:c r="T28" s="12" t="n">
        <x:f>IF(AND(S28=1,Q28&gt;'01_설정'!$B$10),1,0)</x:f>
        <x:v>0</x:v>
      </x:c>
      <x:c r="U28" s="12" t="n">
        <x:f>IF(AND(L28=1,N28=5),1,0)</x:f>
        <x:v>0</x:v>
      </x:c>
      <x:c r="V28" s="12" t="str">
        <x:f>IF(AND(L28=1,N28&gt;=6,N28&lt;=8,P28&gt;0),P28-F28,"")</x:f>
      </x:c>
      <x:c r="W28" s="12" t="str">
        <x:f>IF(OR(A28="",M28=0),"",IFERROR(INDEX('13_검토이력'!$L$6:$L$305,MATCH(M28,'13_검토이력'!$P$6:$P$305,0)),""))</x:f>
      </x:c>
      <x:c r="X28" s="12" t="n">
        <x:f>IF(A28="",0,IF(COUNTIF('12_신청'!$A$6:$A$105,A28)&gt;1,1,0))</x:f>
        <x:v>0</x:v>
      </x:c>
    </x:row>
    <x:row r="29" ht="20" customHeight="1">
      <x:c r="A29" s="22"/>
      <x:c r="B29" s="22"/>
      <x:c r="C29" s="26"/>
      <x:c r="D29" s="22"/>
      <x:c r="E29" s="22"/>
      <x:c r="F29" s="28"/>
      <x:c r="G29" s="28"/>
      <x:c r="H29" s="22"/>
      <x:c r="I29" s="22"/>
      <x:c r="J29" s="22"/>
      <x:c r="K29" s="12" t="n">
        <x:f>IF(A29="",0,IF('01_설정'!$B$8="all",1,IF('01_설정'!$B$8="industry_transition",IF(OR(E29="industry",E29="transition"),1,0),IF(E29='01_설정'!$B$8,1,0))))</x:f>
        <x:v>0</x:v>
      </x:c>
      <x:c r="L29" s="12" t="n">
        <x:f>IF(A29="",0,IF(AND(K29=1,F29&lt;='01_설정'!$B$6,G29&lt;='01_설정'!$B$7),1,0))</x:f>
        <x:v>0</x:v>
      </x:c>
      <x:c r="M29" s="12" t="n">
        <x:f>IF(A29="",0,_xlfn.MAXIFS('13_검토이력'!$P$6:$P$305,'13_검토이력'!$B$6:$B$305,A29,'13_검토이력'!$O$6:$O$305,1))</x:f>
        <x:v>0</x:v>
      </x:c>
      <x:c r="N29" s="12" t="n">
        <x:f>IF(A29="",9,IF(M29=0,9,SUMIFS('13_검토이력'!$N$6:$N$305,'13_검토이력'!$P$6:$P$305,M29)))</x:f>
        <x:v>9</x:v>
      </x:c>
      <x:c r="O29" s="12" t="str">
        <x:f>IF(A29="","",INDEX('17_코드북'!$B$6:$B$15,N29+1))</x:f>
      </x:c>
      <x:c r="P29" s="40" t="n">
        <x:f>IF(A29="",0,_xlfn.MAXIFS('13_검토이력'!$D$6:$D$305,'13_검토이력'!$B$6:$B$305,A29,'13_검토이력'!$O$6:$O$305,1,'13_검토이력'!$Q$6:$Q$305,1))</x:f>
        <x:v>0</x:v>
      </x:c>
      <x:c r="Q29" s="12" t="str">
        <x:f>IF(OR(L29=0,P29=0),"",'01_설정'!$B$6-P29)</x:f>
      </x:c>
      <x:c r="R29" s="12" t="n">
        <x:f>IF(OR(L29=0,M29=0),0,SUMIFS('13_검토이력'!$S$6:$S$305,'13_검토이력'!$P$6:$P$305,M29))</x:f>
        <x:v>0</x:v>
      </x:c>
      <x:c r="S29" s="12" t="n">
        <x:f>IF(AND(L29=1,N29&gt;=1,N29&lt;=4),1,0)</x:f>
        <x:v>0</x:v>
      </x:c>
      <x:c r="T29" s="12" t="n">
        <x:f>IF(AND(S29=1,Q29&gt;'01_설정'!$B$10),1,0)</x:f>
        <x:v>0</x:v>
      </x:c>
      <x:c r="U29" s="12" t="n">
        <x:f>IF(AND(L29=1,N29=5),1,0)</x:f>
        <x:v>0</x:v>
      </x:c>
      <x:c r="V29" s="12" t="str">
        <x:f>IF(AND(L29=1,N29&gt;=6,N29&lt;=8,P29&gt;0),P29-F29,"")</x:f>
      </x:c>
      <x:c r="W29" s="12" t="str">
        <x:f>IF(OR(A29="",M29=0),"",IFERROR(INDEX('13_검토이력'!$L$6:$L$305,MATCH(M29,'13_검토이력'!$P$6:$P$305,0)),""))</x:f>
      </x:c>
      <x:c r="X29" s="12" t="n">
        <x:f>IF(A29="",0,IF(COUNTIF('12_신청'!$A$6:$A$105,A29)&gt;1,1,0))</x:f>
        <x:v>0</x:v>
      </x:c>
    </x:row>
    <x:row r="30" ht="20" customHeight="1">
      <x:c r="A30" s="22"/>
      <x:c r="B30" s="22"/>
      <x:c r="C30" s="26"/>
      <x:c r="D30" s="22"/>
      <x:c r="E30" s="22"/>
      <x:c r="F30" s="28"/>
      <x:c r="G30" s="28"/>
      <x:c r="H30" s="22"/>
      <x:c r="I30" s="22"/>
      <x:c r="J30" s="22"/>
      <x:c r="K30" s="12" t="n">
        <x:f>IF(A30="",0,IF('01_설정'!$B$8="all",1,IF('01_설정'!$B$8="industry_transition",IF(OR(E30="industry",E30="transition"),1,0),IF(E30='01_설정'!$B$8,1,0))))</x:f>
        <x:v>0</x:v>
      </x:c>
      <x:c r="L30" s="12" t="n">
        <x:f>IF(A30="",0,IF(AND(K30=1,F30&lt;='01_설정'!$B$6,G30&lt;='01_설정'!$B$7),1,0))</x:f>
        <x:v>0</x:v>
      </x:c>
      <x:c r="M30" s="12" t="n">
        <x:f>IF(A30="",0,_xlfn.MAXIFS('13_검토이력'!$P$6:$P$305,'13_검토이력'!$B$6:$B$305,A30,'13_검토이력'!$O$6:$O$305,1))</x:f>
        <x:v>0</x:v>
      </x:c>
      <x:c r="N30" s="12" t="n">
        <x:f>IF(A30="",9,IF(M30=0,9,SUMIFS('13_검토이력'!$N$6:$N$305,'13_검토이력'!$P$6:$P$305,M30)))</x:f>
        <x:v>9</x:v>
      </x:c>
      <x:c r="O30" s="12" t="str">
        <x:f>IF(A30="","",INDEX('17_코드북'!$B$6:$B$15,N30+1))</x:f>
      </x:c>
      <x:c r="P30" s="40" t="n">
        <x:f>IF(A30="",0,_xlfn.MAXIFS('13_검토이력'!$D$6:$D$305,'13_검토이력'!$B$6:$B$305,A30,'13_검토이력'!$O$6:$O$305,1,'13_검토이력'!$Q$6:$Q$305,1))</x:f>
        <x:v>0</x:v>
      </x:c>
      <x:c r="Q30" s="12" t="str">
        <x:f>IF(OR(L30=0,P30=0),"",'01_설정'!$B$6-P30)</x:f>
      </x:c>
      <x:c r="R30" s="12" t="n">
        <x:f>IF(OR(L30=0,M30=0),0,SUMIFS('13_검토이력'!$S$6:$S$305,'13_검토이력'!$P$6:$P$305,M30))</x:f>
        <x:v>0</x:v>
      </x:c>
      <x:c r="S30" s="12" t="n">
        <x:f>IF(AND(L30=1,N30&gt;=1,N30&lt;=4),1,0)</x:f>
        <x:v>0</x:v>
      </x:c>
      <x:c r="T30" s="12" t="n">
        <x:f>IF(AND(S30=1,Q30&gt;'01_설정'!$B$10),1,0)</x:f>
        <x:v>0</x:v>
      </x:c>
      <x:c r="U30" s="12" t="n">
        <x:f>IF(AND(L30=1,N30=5),1,0)</x:f>
        <x:v>0</x:v>
      </x:c>
      <x:c r="V30" s="12" t="str">
        <x:f>IF(AND(L30=1,N30&gt;=6,N30&lt;=8,P30&gt;0),P30-F30,"")</x:f>
      </x:c>
      <x:c r="W30" s="12" t="str">
        <x:f>IF(OR(A30="",M30=0),"",IFERROR(INDEX('13_검토이력'!$L$6:$L$305,MATCH(M30,'13_검토이력'!$P$6:$P$305,0)),""))</x:f>
      </x:c>
      <x:c r="X30" s="12" t="n">
        <x:f>IF(A30="",0,IF(COUNTIF('12_신청'!$A$6:$A$105,A30)&gt;1,1,0))</x:f>
        <x:v>0</x:v>
      </x:c>
    </x:row>
    <x:row r="31" ht="20" customHeight="1">
      <x:c r="A31" s="22"/>
      <x:c r="B31" s="22"/>
      <x:c r="C31" s="26"/>
      <x:c r="D31" s="22"/>
      <x:c r="E31" s="22"/>
      <x:c r="F31" s="28"/>
      <x:c r="G31" s="28"/>
      <x:c r="H31" s="22"/>
      <x:c r="I31" s="22"/>
      <x:c r="J31" s="22"/>
      <x:c r="K31" s="12" t="n">
        <x:f>IF(A31="",0,IF('01_설정'!$B$8="all",1,IF('01_설정'!$B$8="industry_transition",IF(OR(E31="industry",E31="transition"),1,0),IF(E31='01_설정'!$B$8,1,0))))</x:f>
        <x:v>0</x:v>
      </x:c>
      <x:c r="L31" s="12" t="n">
        <x:f>IF(A31="",0,IF(AND(K31=1,F31&lt;='01_설정'!$B$6,G31&lt;='01_설정'!$B$7),1,0))</x:f>
        <x:v>0</x:v>
      </x:c>
      <x:c r="M31" s="12" t="n">
        <x:f>IF(A31="",0,_xlfn.MAXIFS('13_검토이력'!$P$6:$P$305,'13_검토이력'!$B$6:$B$305,A31,'13_검토이력'!$O$6:$O$305,1))</x:f>
        <x:v>0</x:v>
      </x:c>
      <x:c r="N31" s="12" t="n">
        <x:f>IF(A31="",9,IF(M31=0,9,SUMIFS('13_검토이력'!$N$6:$N$305,'13_검토이력'!$P$6:$P$305,M31)))</x:f>
        <x:v>9</x:v>
      </x:c>
      <x:c r="O31" s="12" t="str">
        <x:f>IF(A31="","",INDEX('17_코드북'!$B$6:$B$15,N31+1))</x:f>
      </x:c>
      <x:c r="P31" s="40" t="n">
        <x:f>IF(A31="",0,_xlfn.MAXIFS('13_검토이력'!$D$6:$D$305,'13_검토이력'!$B$6:$B$305,A31,'13_검토이력'!$O$6:$O$305,1,'13_검토이력'!$Q$6:$Q$305,1))</x:f>
        <x:v>0</x:v>
      </x:c>
      <x:c r="Q31" s="12" t="str">
        <x:f>IF(OR(L31=0,P31=0),"",'01_설정'!$B$6-P31)</x:f>
      </x:c>
      <x:c r="R31" s="12" t="n">
        <x:f>IF(OR(L31=0,M31=0),0,SUMIFS('13_검토이력'!$S$6:$S$305,'13_검토이력'!$P$6:$P$305,M31))</x:f>
        <x:v>0</x:v>
      </x:c>
      <x:c r="S31" s="12" t="n">
        <x:f>IF(AND(L31=1,N31&gt;=1,N31&lt;=4),1,0)</x:f>
        <x:v>0</x:v>
      </x:c>
      <x:c r="T31" s="12" t="n">
        <x:f>IF(AND(S31=1,Q31&gt;'01_설정'!$B$10),1,0)</x:f>
        <x:v>0</x:v>
      </x:c>
      <x:c r="U31" s="12" t="n">
        <x:f>IF(AND(L31=1,N31=5),1,0)</x:f>
        <x:v>0</x:v>
      </x:c>
      <x:c r="V31" s="12" t="str">
        <x:f>IF(AND(L31=1,N31&gt;=6,N31&lt;=8,P31&gt;0),P31-F31,"")</x:f>
      </x:c>
      <x:c r="W31" s="12" t="str">
        <x:f>IF(OR(A31="",M31=0),"",IFERROR(INDEX('13_검토이력'!$L$6:$L$305,MATCH(M31,'13_검토이력'!$P$6:$P$305,0)),""))</x:f>
      </x:c>
      <x:c r="X31" s="12" t="n">
        <x:f>IF(A31="",0,IF(COUNTIF('12_신청'!$A$6:$A$105,A31)&gt;1,1,0))</x:f>
        <x:v>0</x:v>
      </x:c>
    </x:row>
    <x:row r="32" ht="20" customHeight="1">
      <x:c r="A32" s="22"/>
      <x:c r="B32" s="22"/>
      <x:c r="C32" s="26"/>
      <x:c r="D32" s="22"/>
      <x:c r="E32" s="22"/>
      <x:c r="F32" s="28"/>
      <x:c r="G32" s="28"/>
      <x:c r="H32" s="22"/>
      <x:c r="I32" s="22"/>
      <x:c r="J32" s="22"/>
      <x:c r="K32" s="12" t="n">
        <x:f>IF(A32="",0,IF('01_설정'!$B$8="all",1,IF('01_설정'!$B$8="industry_transition",IF(OR(E32="industry",E32="transition"),1,0),IF(E32='01_설정'!$B$8,1,0))))</x:f>
        <x:v>0</x:v>
      </x:c>
      <x:c r="L32" s="12" t="n">
        <x:f>IF(A32="",0,IF(AND(K32=1,F32&lt;='01_설정'!$B$6,G32&lt;='01_설정'!$B$7),1,0))</x:f>
        <x:v>0</x:v>
      </x:c>
      <x:c r="M32" s="12" t="n">
        <x:f>IF(A32="",0,_xlfn.MAXIFS('13_검토이력'!$P$6:$P$305,'13_검토이력'!$B$6:$B$305,A32,'13_검토이력'!$O$6:$O$305,1))</x:f>
        <x:v>0</x:v>
      </x:c>
      <x:c r="N32" s="12" t="n">
        <x:f>IF(A32="",9,IF(M32=0,9,SUMIFS('13_검토이력'!$N$6:$N$305,'13_검토이력'!$P$6:$P$305,M32)))</x:f>
        <x:v>9</x:v>
      </x:c>
      <x:c r="O32" s="12" t="str">
        <x:f>IF(A32="","",INDEX('17_코드북'!$B$6:$B$15,N32+1))</x:f>
      </x:c>
      <x:c r="P32" s="40" t="n">
        <x:f>IF(A32="",0,_xlfn.MAXIFS('13_검토이력'!$D$6:$D$305,'13_검토이력'!$B$6:$B$305,A32,'13_검토이력'!$O$6:$O$305,1,'13_검토이력'!$Q$6:$Q$305,1))</x:f>
        <x:v>0</x:v>
      </x:c>
      <x:c r="Q32" s="12" t="str">
        <x:f>IF(OR(L32=0,P32=0),"",'01_설정'!$B$6-P32)</x:f>
      </x:c>
      <x:c r="R32" s="12" t="n">
        <x:f>IF(OR(L32=0,M32=0),0,SUMIFS('13_검토이력'!$S$6:$S$305,'13_검토이력'!$P$6:$P$305,M32))</x:f>
        <x:v>0</x:v>
      </x:c>
      <x:c r="S32" s="12" t="n">
        <x:f>IF(AND(L32=1,N32&gt;=1,N32&lt;=4),1,0)</x:f>
        <x:v>0</x:v>
      </x:c>
      <x:c r="T32" s="12" t="n">
        <x:f>IF(AND(S32=1,Q32&gt;'01_설정'!$B$10),1,0)</x:f>
        <x:v>0</x:v>
      </x:c>
      <x:c r="U32" s="12" t="n">
        <x:f>IF(AND(L32=1,N32=5),1,0)</x:f>
        <x:v>0</x:v>
      </x:c>
      <x:c r="V32" s="12" t="str">
        <x:f>IF(AND(L32=1,N32&gt;=6,N32&lt;=8,P32&gt;0),P32-F32,"")</x:f>
      </x:c>
      <x:c r="W32" s="12" t="str">
        <x:f>IF(OR(A32="",M32=0),"",IFERROR(INDEX('13_검토이력'!$L$6:$L$305,MATCH(M32,'13_검토이력'!$P$6:$P$305,0)),""))</x:f>
      </x:c>
      <x:c r="X32" s="12" t="n">
        <x:f>IF(A32="",0,IF(COUNTIF('12_신청'!$A$6:$A$105,A32)&gt;1,1,0))</x:f>
        <x:v>0</x:v>
      </x:c>
    </x:row>
    <x:row r="33" ht="20" customHeight="1">
      <x:c r="A33" s="22"/>
      <x:c r="B33" s="22"/>
      <x:c r="C33" s="26"/>
      <x:c r="D33" s="22"/>
      <x:c r="E33" s="22"/>
      <x:c r="F33" s="28"/>
      <x:c r="G33" s="28"/>
      <x:c r="H33" s="22"/>
      <x:c r="I33" s="22"/>
      <x:c r="J33" s="22"/>
      <x:c r="K33" s="12" t="n">
        <x:f>IF(A33="",0,IF('01_설정'!$B$8="all",1,IF('01_설정'!$B$8="industry_transition",IF(OR(E33="industry",E33="transition"),1,0),IF(E33='01_설정'!$B$8,1,0))))</x:f>
        <x:v>0</x:v>
      </x:c>
      <x:c r="L33" s="12" t="n">
        <x:f>IF(A33="",0,IF(AND(K33=1,F33&lt;='01_설정'!$B$6,G33&lt;='01_설정'!$B$7),1,0))</x:f>
        <x:v>0</x:v>
      </x:c>
      <x:c r="M33" s="12" t="n">
        <x:f>IF(A33="",0,_xlfn.MAXIFS('13_검토이력'!$P$6:$P$305,'13_검토이력'!$B$6:$B$305,A33,'13_검토이력'!$O$6:$O$305,1))</x:f>
        <x:v>0</x:v>
      </x:c>
      <x:c r="N33" s="12" t="n">
        <x:f>IF(A33="",9,IF(M33=0,9,SUMIFS('13_검토이력'!$N$6:$N$305,'13_검토이력'!$P$6:$P$305,M33)))</x:f>
        <x:v>9</x:v>
      </x:c>
      <x:c r="O33" s="12" t="str">
        <x:f>IF(A33="","",INDEX('17_코드북'!$B$6:$B$15,N33+1))</x:f>
      </x:c>
      <x:c r="P33" s="40" t="n">
        <x:f>IF(A33="",0,_xlfn.MAXIFS('13_검토이력'!$D$6:$D$305,'13_검토이력'!$B$6:$B$305,A33,'13_검토이력'!$O$6:$O$305,1,'13_검토이력'!$Q$6:$Q$305,1))</x:f>
        <x:v>0</x:v>
      </x:c>
      <x:c r="Q33" s="12" t="str">
        <x:f>IF(OR(L33=0,P33=0),"",'01_설정'!$B$6-P33)</x:f>
      </x:c>
      <x:c r="R33" s="12" t="n">
        <x:f>IF(OR(L33=0,M33=0),0,SUMIFS('13_검토이력'!$S$6:$S$305,'13_검토이력'!$P$6:$P$305,M33))</x:f>
        <x:v>0</x:v>
      </x:c>
      <x:c r="S33" s="12" t="n">
        <x:f>IF(AND(L33=1,N33&gt;=1,N33&lt;=4),1,0)</x:f>
        <x:v>0</x:v>
      </x:c>
      <x:c r="T33" s="12" t="n">
        <x:f>IF(AND(S33=1,Q33&gt;'01_설정'!$B$10),1,0)</x:f>
        <x:v>0</x:v>
      </x:c>
      <x:c r="U33" s="12" t="n">
        <x:f>IF(AND(L33=1,N33=5),1,0)</x:f>
        <x:v>0</x:v>
      </x:c>
      <x:c r="V33" s="12" t="str">
        <x:f>IF(AND(L33=1,N33&gt;=6,N33&lt;=8,P33&gt;0),P33-F33,"")</x:f>
      </x:c>
      <x:c r="W33" s="12" t="str">
        <x:f>IF(OR(A33="",M33=0),"",IFERROR(INDEX('13_검토이력'!$L$6:$L$305,MATCH(M33,'13_검토이력'!$P$6:$P$305,0)),""))</x:f>
      </x:c>
      <x:c r="X33" s="12" t="n">
        <x:f>IF(A33="",0,IF(COUNTIF('12_신청'!$A$6:$A$105,A33)&gt;1,1,0))</x:f>
        <x:v>0</x:v>
      </x:c>
    </x:row>
    <x:row r="34" ht="20" customHeight="1">
      <x:c r="A34" s="22"/>
      <x:c r="B34" s="22"/>
      <x:c r="C34" s="26"/>
      <x:c r="D34" s="22"/>
      <x:c r="E34" s="22"/>
      <x:c r="F34" s="28"/>
      <x:c r="G34" s="28"/>
      <x:c r="H34" s="22"/>
      <x:c r="I34" s="22"/>
      <x:c r="J34" s="22"/>
      <x:c r="K34" s="12" t="n">
        <x:f>IF(A34="",0,IF('01_설정'!$B$8="all",1,IF('01_설정'!$B$8="industry_transition",IF(OR(E34="industry",E34="transition"),1,0),IF(E34='01_설정'!$B$8,1,0))))</x:f>
        <x:v>0</x:v>
      </x:c>
      <x:c r="L34" s="12" t="n">
        <x:f>IF(A34="",0,IF(AND(K34=1,F34&lt;='01_설정'!$B$6,G34&lt;='01_설정'!$B$7),1,0))</x:f>
        <x:v>0</x:v>
      </x:c>
      <x:c r="M34" s="12" t="n">
        <x:f>IF(A34="",0,_xlfn.MAXIFS('13_검토이력'!$P$6:$P$305,'13_검토이력'!$B$6:$B$305,A34,'13_검토이력'!$O$6:$O$305,1))</x:f>
        <x:v>0</x:v>
      </x:c>
      <x:c r="N34" s="12" t="n">
        <x:f>IF(A34="",9,IF(M34=0,9,SUMIFS('13_검토이력'!$N$6:$N$305,'13_검토이력'!$P$6:$P$305,M34)))</x:f>
        <x:v>9</x:v>
      </x:c>
      <x:c r="O34" s="12" t="str">
        <x:f>IF(A34="","",INDEX('17_코드북'!$B$6:$B$15,N34+1))</x:f>
      </x:c>
      <x:c r="P34" s="40" t="n">
        <x:f>IF(A34="",0,_xlfn.MAXIFS('13_검토이력'!$D$6:$D$305,'13_검토이력'!$B$6:$B$305,A34,'13_검토이력'!$O$6:$O$305,1,'13_검토이력'!$Q$6:$Q$305,1))</x:f>
        <x:v>0</x:v>
      </x:c>
      <x:c r="Q34" s="12" t="str">
        <x:f>IF(OR(L34=0,P34=0),"",'01_설정'!$B$6-P34)</x:f>
      </x:c>
      <x:c r="R34" s="12" t="n">
        <x:f>IF(OR(L34=0,M34=0),0,SUMIFS('13_검토이력'!$S$6:$S$305,'13_검토이력'!$P$6:$P$305,M34))</x:f>
        <x:v>0</x:v>
      </x:c>
      <x:c r="S34" s="12" t="n">
        <x:f>IF(AND(L34=1,N34&gt;=1,N34&lt;=4),1,0)</x:f>
        <x:v>0</x:v>
      </x:c>
      <x:c r="T34" s="12" t="n">
        <x:f>IF(AND(S34=1,Q34&gt;'01_설정'!$B$10),1,0)</x:f>
        <x:v>0</x:v>
      </x:c>
      <x:c r="U34" s="12" t="n">
        <x:f>IF(AND(L34=1,N34=5),1,0)</x:f>
        <x:v>0</x:v>
      </x:c>
      <x:c r="V34" s="12" t="str">
        <x:f>IF(AND(L34=1,N34&gt;=6,N34&lt;=8,P34&gt;0),P34-F34,"")</x:f>
      </x:c>
      <x:c r="W34" s="12" t="str">
        <x:f>IF(OR(A34="",M34=0),"",IFERROR(INDEX('13_검토이력'!$L$6:$L$305,MATCH(M34,'13_검토이력'!$P$6:$P$305,0)),""))</x:f>
      </x:c>
      <x:c r="X34" s="12" t="n">
        <x:f>IF(A34="",0,IF(COUNTIF('12_신청'!$A$6:$A$105,A34)&gt;1,1,0))</x:f>
        <x:v>0</x:v>
      </x:c>
    </x:row>
    <x:row r="35" ht="20" customHeight="1">
      <x:c r="A35" s="22"/>
      <x:c r="B35" s="22"/>
      <x:c r="C35" s="26"/>
      <x:c r="D35" s="22"/>
      <x:c r="E35" s="22"/>
      <x:c r="F35" s="28"/>
      <x:c r="G35" s="28"/>
      <x:c r="H35" s="22"/>
      <x:c r="I35" s="22"/>
      <x:c r="J35" s="22"/>
      <x:c r="K35" s="12" t="n">
        <x:f>IF(A35="",0,IF('01_설정'!$B$8="all",1,IF('01_설정'!$B$8="industry_transition",IF(OR(E35="industry",E35="transition"),1,0),IF(E35='01_설정'!$B$8,1,0))))</x:f>
        <x:v>0</x:v>
      </x:c>
      <x:c r="L35" s="12" t="n">
        <x:f>IF(A35="",0,IF(AND(K35=1,F35&lt;='01_설정'!$B$6,G35&lt;='01_설정'!$B$7),1,0))</x:f>
        <x:v>0</x:v>
      </x:c>
      <x:c r="M35" s="12" t="n">
        <x:f>IF(A35="",0,_xlfn.MAXIFS('13_검토이력'!$P$6:$P$305,'13_검토이력'!$B$6:$B$305,A35,'13_검토이력'!$O$6:$O$305,1))</x:f>
        <x:v>0</x:v>
      </x:c>
      <x:c r="N35" s="12" t="n">
        <x:f>IF(A35="",9,IF(M35=0,9,SUMIFS('13_검토이력'!$N$6:$N$305,'13_검토이력'!$P$6:$P$305,M35)))</x:f>
        <x:v>9</x:v>
      </x:c>
      <x:c r="O35" s="12" t="str">
        <x:f>IF(A35="","",INDEX('17_코드북'!$B$6:$B$15,N35+1))</x:f>
      </x:c>
      <x:c r="P35" s="40" t="n">
        <x:f>IF(A35="",0,_xlfn.MAXIFS('13_검토이력'!$D$6:$D$305,'13_검토이력'!$B$6:$B$305,A35,'13_검토이력'!$O$6:$O$305,1,'13_검토이력'!$Q$6:$Q$305,1))</x:f>
        <x:v>0</x:v>
      </x:c>
      <x:c r="Q35" s="12" t="str">
        <x:f>IF(OR(L35=0,P35=0),"",'01_설정'!$B$6-P35)</x:f>
      </x:c>
      <x:c r="R35" s="12" t="n">
        <x:f>IF(OR(L35=0,M35=0),0,SUMIFS('13_검토이력'!$S$6:$S$305,'13_검토이력'!$P$6:$P$305,M35))</x:f>
        <x:v>0</x:v>
      </x:c>
      <x:c r="S35" s="12" t="n">
        <x:f>IF(AND(L35=1,N35&gt;=1,N35&lt;=4),1,0)</x:f>
        <x:v>0</x:v>
      </x:c>
      <x:c r="T35" s="12" t="n">
        <x:f>IF(AND(S35=1,Q35&gt;'01_설정'!$B$10),1,0)</x:f>
        <x:v>0</x:v>
      </x:c>
      <x:c r="U35" s="12" t="n">
        <x:f>IF(AND(L35=1,N35=5),1,0)</x:f>
        <x:v>0</x:v>
      </x:c>
      <x:c r="V35" s="12" t="str">
        <x:f>IF(AND(L35=1,N35&gt;=6,N35&lt;=8,P35&gt;0),P35-F35,"")</x:f>
      </x:c>
      <x:c r="W35" s="12" t="str">
        <x:f>IF(OR(A35="",M35=0),"",IFERROR(INDEX('13_검토이력'!$L$6:$L$305,MATCH(M35,'13_검토이력'!$P$6:$P$305,0)),""))</x:f>
      </x:c>
      <x:c r="X35" s="12" t="n">
        <x:f>IF(A35="",0,IF(COUNTIF('12_신청'!$A$6:$A$105,A35)&gt;1,1,0))</x:f>
        <x:v>0</x:v>
      </x:c>
    </x:row>
    <x:row r="36" ht="20" customHeight="1">
      <x:c r="A36" s="22"/>
      <x:c r="B36" s="22"/>
      <x:c r="C36" s="26"/>
      <x:c r="D36" s="22"/>
      <x:c r="E36" s="22"/>
      <x:c r="F36" s="28"/>
      <x:c r="G36" s="28"/>
      <x:c r="H36" s="22"/>
      <x:c r="I36" s="22"/>
      <x:c r="J36" s="22"/>
      <x:c r="K36" s="12" t="n">
        <x:f>IF(A36="",0,IF('01_설정'!$B$8="all",1,IF('01_설정'!$B$8="industry_transition",IF(OR(E36="industry",E36="transition"),1,0),IF(E36='01_설정'!$B$8,1,0))))</x:f>
        <x:v>0</x:v>
      </x:c>
      <x:c r="L36" s="12" t="n">
        <x:f>IF(A36="",0,IF(AND(K36=1,F36&lt;='01_설정'!$B$6,G36&lt;='01_설정'!$B$7),1,0))</x:f>
        <x:v>0</x:v>
      </x:c>
      <x:c r="M36" s="12" t="n">
        <x:f>IF(A36="",0,_xlfn.MAXIFS('13_검토이력'!$P$6:$P$305,'13_검토이력'!$B$6:$B$305,A36,'13_검토이력'!$O$6:$O$305,1))</x:f>
        <x:v>0</x:v>
      </x:c>
      <x:c r="N36" s="12" t="n">
        <x:f>IF(A36="",9,IF(M36=0,9,SUMIFS('13_검토이력'!$N$6:$N$305,'13_검토이력'!$P$6:$P$305,M36)))</x:f>
        <x:v>9</x:v>
      </x:c>
      <x:c r="O36" s="12" t="str">
        <x:f>IF(A36="","",INDEX('17_코드북'!$B$6:$B$15,N36+1))</x:f>
      </x:c>
      <x:c r="P36" s="40" t="n">
        <x:f>IF(A36="",0,_xlfn.MAXIFS('13_검토이력'!$D$6:$D$305,'13_검토이력'!$B$6:$B$305,A36,'13_검토이력'!$O$6:$O$305,1,'13_검토이력'!$Q$6:$Q$305,1))</x:f>
        <x:v>0</x:v>
      </x:c>
      <x:c r="Q36" s="12" t="str">
        <x:f>IF(OR(L36=0,P36=0),"",'01_설정'!$B$6-P36)</x:f>
      </x:c>
      <x:c r="R36" s="12" t="n">
        <x:f>IF(OR(L36=0,M36=0),0,SUMIFS('13_검토이력'!$S$6:$S$305,'13_검토이력'!$P$6:$P$305,M36))</x:f>
        <x:v>0</x:v>
      </x:c>
      <x:c r="S36" s="12" t="n">
        <x:f>IF(AND(L36=1,N36&gt;=1,N36&lt;=4),1,0)</x:f>
        <x:v>0</x:v>
      </x:c>
      <x:c r="T36" s="12" t="n">
        <x:f>IF(AND(S36=1,Q36&gt;'01_설정'!$B$10),1,0)</x:f>
        <x:v>0</x:v>
      </x:c>
      <x:c r="U36" s="12" t="n">
        <x:f>IF(AND(L36=1,N36=5),1,0)</x:f>
        <x:v>0</x:v>
      </x:c>
      <x:c r="V36" s="12" t="str">
        <x:f>IF(AND(L36=1,N36&gt;=6,N36&lt;=8,P36&gt;0),P36-F36,"")</x:f>
      </x:c>
      <x:c r="W36" s="12" t="str">
        <x:f>IF(OR(A36="",M36=0),"",IFERROR(INDEX('13_검토이력'!$L$6:$L$305,MATCH(M36,'13_검토이력'!$P$6:$P$305,0)),""))</x:f>
      </x:c>
      <x:c r="X36" s="12" t="n">
        <x:f>IF(A36="",0,IF(COUNTIF('12_신청'!$A$6:$A$105,A36)&gt;1,1,0))</x:f>
        <x:v>0</x:v>
      </x:c>
    </x:row>
    <x:row r="37" ht="20" customHeight="1">
      <x:c r="A37" s="22"/>
      <x:c r="B37" s="22"/>
      <x:c r="C37" s="26"/>
      <x:c r="D37" s="22"/>
      <x:c r="E37" s="22"/>
      <x:c r="F37" s="28"/>
      <x:c r="G37" s="28"/>
      <x:c r="H37" s="22"/>
      <x:c r="I37" s="22"/>
      <x:c r="J37" s="22"/>
      <x:c r="K37" s="12" t="n">
        <x:f>IF(A37="",0,IF('01_설정'!$B$8="all",1,IF('01_설정'!$B$8="industry_transition",IF(OR(E37="industry",E37="transition"),1,0),IF(E37='01_설정'!$B$8,1,0))))</x:f>
        <x:v>0</x:v>
      </x:c>
      <x:c r="L37" s="12" t="n">
        <x:f>IF(A37="",0,IF(AND(K37=1,F37&lt;='01_설정'!$B$6,G37&lt;='01_설정'!$B$7),1,0))</x:f>
        <x:v>0</x:v>
      </x:c>
      <x:c r="M37" s="12" t="n">
        <x:f>IF(A37="",0,_xlfn.MAXIFS('13_검토이력'!$P$6:$P$305,'13_검토이력'!$B$6:$B$305,A37,'13_검토이력'!$O$6:$O$305,1))</x:f>
        <x:v>0</x:v>
      </x:c>
      <x:c r="N37" s="12" t="n">
        <x:f>IF(A37="",9,IF(M37=0,9,SUMIFS('13_검토이력'!$N$6:$N$305,'13_검토이력'!$P$6:$P$305,M37)))</x:f>
        <x:v>9</x:v>
      </x:c>
      <x:c r="O37" s="12" t="str">
        <x:f>IF(A37="","",INDEX('17_코드북'!$B$6:$B$15,N37+1))</x:f>
      </x:c>
      <x:c r="P37" s="40" t="n">
        <x:f>IF(A37="",0,_xlfn.MAXIFS('13_검토이력'!$D$6:$D$305,'13_검토이력'!$B$6:$B$305,A37,'13_검토이력'!$O$6:$O$305,1,'13_검토이력'!$Q$6:$Q$305,1))</x:f>
        <x:v>0</x:v>
      </x:c>
      <x:c r="Q37" s="12" t="str">
        <x:f>IF(OR(L37=0,P37=0),"",'01_설정'!$B$6-P37)</x:f>
      </x:c>
      <x:c r="R37" s="12" t="n">
        <x:f>IF(OR(L37=0,M37=0),0,SUMIFS('13_검토이력'!$S$6:$S$305,'13_검토이력'!$P$6:$P$305,M37))</x:f>
        <x:v>0</x:v>
      </x:c>
      <x:c r="S37" s="12" t="n">
        <x:f>IF(AND(L37=1,N37&gt;=1,N37&lt;=4),1,0)</x:f>
        <x:v>0</x:v>
      </x:c>
      <x:c r="T37" s="12" t="n">
        <x:f>IF(AND(S37=1,Q37&gt;'01_설정'!$B$10),1,0)</x:f>
        <x:v>0</x:v>
      </x:c>
      <x:c r="U37" s="12" t="n">
        <x:f>IF(AND(L37=1,N37=5),1,0)</x:f>
        <x:v>0</x:v>
      </x:c>
      <x:c r="V37" s="12" t="str">
        <x:f>IF(AND(L37=1,N37&gt;=6,N37&lt;=8,P37&gt;0),P37-F37,"")</x:f>
      </x:c>
      <x:c r="W37" s="12" t="str">
        <x:f>IF(OR(A37="",M37=0),"",IFERROR(INDEX('13_검토이력'!$L$6:$L$305,MATCH(M37,'13_검토이력'!$P$6:$P$305,0)),""))</x:f>
      </x:c>
      <x:c r="X37" s="12" t="n">
        <x:f>IF(A37="",0,IF(COUNTIF('12_신청'!$A$6:$A$105,A37)&gt;1,1,0))</x:f>
        <x:v>0</x:v>
      </x:c>
    </x:row>
    <x:row r="38" ht="20" customHeight="1">
      <x:c r="A38" s="22"/>
      <x:c r="B38" s="22"/>
      <x:c r="C38" s="26"/>
      <x:c r="D38" s="22"/>
      <x:c r="E38" s="22"/>
      <x:c r="F38" s="28"/>
      <x:c r="G38" s="28"/>
      <x:c r="H38" s="22"/>
      <x:c r="I38" s="22"/>
      <x:c r="J38" s="22"/>
      <x:c r="K38" s="12" t="n">
        <x:f>IF(A38="",0,IF('01_설정'!$B$8="all",1,IF('01_설정'!$B$8="industry_transition",IF(OR(E38="industry",E38="transition"),1,0),IF(E38='01_설정'!$B$8,1,0))))</x:f>
        <x:v>0</x:v>
      </x:c>
      <x:c r="L38" s="12" t="n">
        <x:f>IF(A38="",0,IF(AND(K38=1,F38&lt;='01_설정'!$B$6,G38&lt;='01_설정'!$B$7),1,0))</x:f>
        <x:v>0</x:v>
      </x:c>
      <x:c r="M38" s="12" t="n">
        <x:f>IF(A38="",0,_xlfn.MAXIFS('13_검토이력'!$P$6:$P$305,'13_검토이력'!$B$6:$B$305,A38,'13_검토이력'!$O$6:$O$305,1))</x:f>
        <x:v>0</x:v>
      </x:c>
      <x:c r="N38" s="12" t="n">
        <x:f>IF(A38="",9,IF(M38=0,9,SUMIFS('13_검토이력'!$N$6:$N$305,'13_검토이력'!$P$6:$P$305,M38)))</x:f>
        <x:v>9</x:v>
      </x:c>
      <x:c r="O38" s="12" t="str">
        <x:f>IF(A38="","",INDEX('17_코드북'!$B$6:$B$15,N38+1))</x:f>
      </x:c>
      <x:c r="P38" s="40" t="n">
        <x:f>IF(A38="",0,_xlfn.MAXIFS('13_검토이력'!$D$6:$D$305,'13_검토이력'!$B$6:$B$305,A38,'13_검토이력'!$O$6:$O$305,1,'13_검토이력'!$Q$6:$Q$305,1))</x:f>
        <x:v>0</x:v>
      </x:c>
      <x:c r="Q38" s="12" t="str">
        <x:f>IF(OR(L38=0,P38=0),"",'01_설정'!$B$6-P38)</x:f>
      </x:c>
      <x:c r="R38" s="12" t="n">
        <x:f>IF(OR(L38=0,M38=0),0,SUMIFS('13_검토이력'!$S$6:$S$305,'13_검토이력'!$P$6:$P$305,M38))</x:f>
        <x:v>0</x:v>
      </x:c>
      <x:c r="S38" s="12" t="n">
        <x:f>IF(AND(L38=1,N38&gt;=1,N38&lt;=4),1,0)</x:f>
        <x:v>0</x:v>
      </x:c>
      <x:c r="T38" s="12" t="n">
        <x:f>IF(AND(S38=1,Q38&gt;'01_설정'!$B$10),1,0)</x:f>
        <x:v>0</x:v>
      </x:c>
      <x:c r="U38" s="12" t="n">
        <x:f>IF(AND(L38=1,N38=5),1,0)</x:f>
        <x:v>0</x:v>
      </x:c>
      <x:c r="V38" s="12" t="str">
        <x:f>IF(AND(L38=1,N38&gt;=6,N38&lt;=8,P38&gt;0),P38-F38,"")</x:f>
      </x:c>
      <x:c r="W38" s="12" t="str">
        <x:f>IF(OR(A38="",M38=0),"",IFERROR(INDEX('13_검토이력'!$L$6:$L$305,MATCH(M38,'13_검토이력'!$P$6:$P$305,0)),""))</x:f>
      </x:c>
      <x:c r="X38" s="12" t="n">
        <x:f>IF(A38="",0,IF(COUNTIF('12_신청'!$A$6:$A$105,A38)&gt;1,1,0))</x:f>
        <x:v>0</x:v>
      </x:c>
    </x:row>
    <x:row r="39" ht="20" customHeight="1">
      <x:c r="A39" s="22"/>
      <x:c r="B39" s="22"/>
      <x:c r="C39" s="26"/>
      <x:c r="D39" s="22"/>
      <x:c r="E39" s="22"/>
      <x:c r="F39" s="28"/>
      <x:c r="G39" s="28"/>
      <x:c r="H39" s="22"/>
      <x:c r="I39" s="22"/>
      <x:c r="J39" s="22"/>
      <x:c r="K39" s="12" t="n">
        <x:f>IF(A39="",0,IF('01_설정'!$B$8="all",1,IF('01_설정'!$B$8="industry_transition",IF(OR(E39="industry",E39="transition"),1,0),IF(E39='01_설정'!$B$8,1,0))))</x:f>
        <x:v>0</x:v>
      </x:c>
      <x:c r="L39" s="12" t="n">
        <x:f>IF(A39="",0,IF(AND(K39=1,F39&lt;='01_설정'!$B$6,G39&lt;='01_설정'!$B$7),1,0))</x:f>
        <x:v>0</x:v>
      </x:c>
      <x:c r="M39" s="12" t="n">
        <x:f>IF(A39="",0,_xlfn.MAXIFS('13_검토이력'!$P$6:$P$305,'13_검토이력'!$B$6:$B$305,A39,'13_검토이력'!$O$6:$O$305,1))</x:f>
        <x:v>0</x:v>
      </x:c>
      <x:c r="N39" s="12" t="n">
        <x:f>IF(A39="",9,IF(M39=0,9,SUMIFS('13_검토이력'!$N$6:$N$305,'13_검토이력'!$P$6:$P$305,M39)))</x:f>
        <x:v>9</x:v>
      </x:c>
      <x:c r="O39" s="12" t="str">
        <x:f>IF(A39="","",INDEX('17_코드북'!$B$6:$B$15,N39+1))</x:f>
      </x:c>
      <x:c r="P39" s="40" t="n">
        <x:f>IF(A39="",0,_xlfn.MAXIFS('13_검토이력'!$D$6:$D$305,'13_검토이력'!$B$6:$B$305,A39,'13_검토이력'!$O$6:$O$305,1,'13_검토이력'!$Q$6:$Q$305,1))</x:f>
        <x:v>0</x:v>
      </x:c>
      <x:c r="Q39" s="12" t="str">
        <x:f>IF(OR(L39=0,P39=0),"",'01_설정'!$B$6-P39)</x:f>
      </x:c>
      <x:c r="R39" s="12" t="n">
        <x:f>IF(OR(L39=0,M39=0),0,SUMIFS('13_검토이력'!$S$6:$S$305,'13_검토이력'!$P$6:$P$305,M39))</x:f>
        <x:v>0</x:v>
      </x:c>
      <x:c r="S39" s="12" t="n">
        <x:f>IF(AND(L39=1,N39&gt;=1,N39&lt;=4),1,0)</x:f>
        <x:v>0</x:v>
      </x:c>
      <x:c r="T39" s="12" t="n">
        <x:f>IF(AND(S39=1,Q39&gt;'01_설정'!$B$10),1,0)</x:f>
        <x:v>0</x:v>
      </x:c>
      <x:c r="U39" s="12" t="n">
        <x:f>IF(AND(L39=1,N39=5),1,0)</x:f>
        <x:v>0</x:v>
      </x:c>
      <x:c r="V39" s="12" t="str">
        <x:f>IF(AND(L39=1,N39&gt;=6,N39&lt;=8,P39&gt;0),P39-F39,"")</x:f>
      </x:c>
      <x:c r="W39" s="12" t="str">
        <x:f>IF(OR(A39="",M39=0),"",IFERROR(INDEX('13_검토이력'!$L$6:$L$305,MATCH(M39,'13_검토이력'!$P$6:$P$305,0)),""))</x:f>
      </x:c>
      <x:c r="X39" s="12" t="n">
        <x:f>IF(A39="",0,IF(COUNTIF('12_신청'!$A$6:$A$105,A39)&gt;1,1,0))</x:f>
        <x:v>0</x:v>
      </x:c>
    </x:row>
    <x:row r="40" ht="20" customHeight="1">
      <x:c r="A40" s="22"/>
      <x:c r="B40" s="22"/>
      <x:c r="C40" s="26"/>
      <x:c r="D40" s="22"/>
      <x:c r="E40" s="22"/>
      <x:c r="F40" s="28"/>
      <x:c r="G40" s="28"/>
      <x:c r="H40" s="22"/>
      <x:c r="I40" s="22"/>
      <x:c r="J40" s="22"/>
      <x:c r="K40" s="12" t="n">
        <x:f>IF(A40="",0,IF('01_설정'!$B$8="all",1,IF('01_설정'!$B$8="industry_transition",IF(OR(E40="industry",E40="transition"),1,0),IF(E40='01_설정'!$B$8,1,0))))</x:f>
        <x:v>0</x:v>
      </x:c>
      <x:c r="L40" s="12" t="n">
        <x:f>IF(A40="",0,IF(AND(K40=1,F40&lt;='01_설정'!$B$6,G40&lt;='01_설정'!$B$7),1,0))</x:f>
        <x:v>0</x:v>
      </x:c>
      <x:c r="M40" s="12" t="n">
        <x:f>IF(A40="",0,_xlfn.MAXIFS('13_검토이력'!$P$6:$P$305,'13_검토이력'!$B$6:$B$305,A40,'13_검토이력'!$O$6:$O$305,1))</x:f>
        <x:v>0</x:v>
      </x:c>
      <x:c r="N40" s="12" t="n">
        <x:f>IF(A40="",9,IF(M40=0,9,SUMIFS('13_검토이력'!$N$6:$N$305,'13_검토이력'!$P$6:$P$305,M40)))</x:f>
        <x:v>9</x:v>
      </x:c>
      <x:c r="O40" s="12" t="str">
        <x:f>IF(A40="","",INDEX('17_코드북'!$B$6:$B$15,N40+1))</x:f>
      </x:c>
      <x:c r="P40" s="40" t="n">
        <x:f>IF(A40="",0,_xlfn.MAXIFS('13_검토이력'!$D$6:$D$305,'13_검토이력'!$B$6:$B$305,A40,'13_검토이력'!$O$6:$O$305,1,'13_검토이력'!$Q$6:$Q$305,1))</x:f>
        <x:v>0</x:v>
      </x:c>
      <x:c r="Q40" s="12" t="str">
        <x:f>IF(OR(L40=0,P40=0),"",'01_설정'!$B$6-P40)</x:f>
      </x:c>
      <x:c r="R40" s="12" t="n">
        <x:f>IF(OR(L40=0,M40=0),0,SUMIFS('13_검토이력'!$S$6:$S$305,'13_검토이력'!$P$6:$P$305,M40))</x:f>
        <x:v>0</x:v>
      </x:c>
      <x:c r="S40" s="12" t="n">
        <x:f>IF(AND(L40=1,N40&gt;=1,N40&lt;=4),1,0)</x:f>
        <x:v>0</x:v>
      </x:c>
      <x:c r="T40" s="12" t="n">
        <x:f>IF(AND(S40=1,Q40&gt;'01_설정'!$B$10),1,0)</x:f>
        <x:v>0</x:v>
      </x:c>
      <x:c r="U40" s="12" t="n">
        <x:f>IF(AND(L40=1,N40=5),1,0)</x:f>
        <x:v>0</x:v>
      </x:c>
      <x:c r="V40" s="12" t="str">
        <x:f>IF(AND(L40=1,N40&gt;=6,N40&lt;=8,P40&gt;0),P40-F40,"")</x:f>
      </x:c>
      <x:c r="W40" s="12" t="str">
        <x:f>IF(OR(A40="",M40=0),"",IFERROR(INDEX('13_검토이력'!$L$6:$L$305,MATCH(M40,'13_검토이력'!$P$6:$P$305,0)),""))</x:f>
      </x:c>
      <x:c r="X40" s="12" t="n">
        <x:f>IF(A40="",0,IF(COUNTIF('12_신청'!$A$6:$A$105,A40)&gt;1,1,0))</x:f>
        <x:v>0</x:v>
      </x:c>
    </x:row>
    <x:row r="41" ht="20" customHeight="1">
      <x:c r="A41" s="22"/>
      <x:c r="B41" s="22"/>
      <x:c r="C41" s="26"/>
      <x:c r="D41" s="22"/>
      <x:c r="E41" s="22"/>
      <x:c r="F41" s="28"/>
      <x:c r="G41" s="28"/>
      <x:c r="H41" s="22"/>
      <x:c r="I41" s="22"/>
      <x:c r="J41" s="22"/>
      <x:c r="K41" s="12" t="n">
        <x:f>IF(A41="",0,IF('01_설정'!$B$8="all",1,IF('01_설정'!$B$8="industry_transition",IF(OR(E41="industry",E41="transition"),1,0),IF(E41='01_설정'!$B$8,1,0))))</x:f>
        <x:v>0</x:v>
      </x:c>
      <x:c r="L41" s="12" t="n">
        <x:f>IF(A41="",0,IF(AND(K41=1,F41&lt;='01_설정'!$B$6,G41&lt;='01_설정'!$B$7),1,0))</x:f>
        <x:v>0</x:v>
      </x:c>
      <x:c r="M41" s="12" t="n">
        <x:f>IF(A41="",0,_xlfn.MAXIFS('13_검토이력'!$P$6:$P$305,'13_검토이력'!$B$6:$B$305,A41,'13_검토이력'!$O$6:$O$305,1))</x:f>
        <x:v>0</x:v>
      </x:c>
      <x:c r="N41" s="12" t="n">
        <x:f>IF(A41="",9,IF(M41=0,9,SUMIFS('13_검토이력'!$N$6:$N$305,'13_검토이력'!$P$6:$P$305,M41)))</x:f>
        <x:v>9</x:v>
      </x:c>
      <x:c r="O41" s="12" t="str">
        <x:f>IF(A41="","",INDEX('17_코드북'!$B$6:$B$15,N41+1))</x:f>
      </x:c>
      <x:c r="P41" s="40" t="n">
        <x:f>IF(A41="",0,_xlfn.MAXIFS('13_검토이력'!$D$6:$D$305,'13_검토이력'!$B$6:$B$305,A41,'13_검토이력'!$O$6:$O$305,1,'13_검토이력'!$Q$6:$Q$305,1))</x:f>
        <x:v>0</x:v>
      </x:c>
      <x:c r="Q41" s="12" t="str">
        <x:f>IF(OR(L41=0,P41=0),"",'01_설정'!$B$6-P41)</x:f>
      </x:c>
      <x:c r="R41" s="12" t="n">
        <x:f>IF(OR(L41=0,M41=0),0,SUMIFS('13_검토이력'!$S$6:$S$305,'13_검토이력'!$P$6:$P$305,M41))</x:f>
        <x:v>0</x:v>
      </x:c>
      <x:c r="S41" s="12" t="n">
        <x:f>IF(AND(L41=1,N41&gt;=1,N41&lt;=4),1,0)</x:f>
        <x:v>0</x:v>
      </x:c>
      <x:c r="T41" s="12" t="n">
        <x:f>IF(AND(S41=1,Q41&gt;'01_설정'!$B$10),1,0)</x:f>
        <x:v>0</x:v>
      </x:c>
      <x:c r="U41" s="12" t="n">
        <x:f>IF(AND(L41=1,N41=5),1,0)</x:f>
        <x:v>0</x:v>
      </x:c>
      <x:c r="V41" s="12" t="str">
        <x:f>IF(AND(L41=1,N41&gt;=6,N41&lt;=8,P41&gt;0),P41-F41,"")</x:f>
      </x:c>
      <x:c r="W41" s="12" t="str">
        <x:f>IF(OR(A41="",M41=0),"",IFERROR(INDEX('13_검토이력'!$L$6:$L$305,MATCH(M41,'13_검토이력'!$P$6:$P$305,0)),""))</x:f>
      </x:c>
      <x:c r="X41" s="12" t="n">
        <x:f>IF(A41="",0,IF(COUNTIF('12_신청'!$A$6:$A$105,A41)&gt;1,1,0))</x:f>
        <x:v>0</x:v>
      </x:c>
    </x:row>
    <x:row r="42" ht="20" customHeight="1">
      <x:c r="A42" s="22"/>
      <x:c r="B42" s="22"/>
      <x:c r="C42" s="26"/>
      <x:c r="D42" s="22"/>
      <x:c r="E42" s="22"/>
      <x:c r="F42" s="28"/>
      <x:c r="G42" s="28"/>
      <x:c r="H42" s="22"/>
      <x:c r="I42" s="22"/>
      <x:c r="J42" s="22"/>
      <x:c r="K42" s="12" t="n">
        <x:f>IF(A42="",0,IF('01_설정'!$B$8="all",1,IF('01_설정'!$B$8="industry_transition",IF(OR(E42="industry",E42="transition"),1,0),IF(E42='01_설정'!$B$8,1,0))))</x:f>
        <x:v>0</x:v>
      </x:c>
      <x:c r="L42" s="12" t="n">
        <x:f>IF(A42="",0,IF(AND(K42=1,F42&lt;='01_설정'!$B$6,G42&lt;='01_설정'!$B$7),1,0))</x:f>
        <x:v>0</x:v>
      </x:c>
      <x:c r="M42" s="12" t="n">
        <x:f>IF(A42="",0,_xlfn.MAXIFS('13_검토이력'!$P$6:$P$305,'13_검토이력'!$B$6:$B$305,A42,'13_검토이력'!$O$6:$O$305,1))</x:f>
        <x:v>0</x:v>
      </x:c>
      <x:c r="N42" s="12" t="n">
        <x:f>IF(A42="",9,IF(M42=0,9,SUMIFS('13_검토이력'!$N$6:$N$305,'13_검토이력'!$P$6:$P$305,M42)))</x:f>
        <x:v>9</x:v>
      </x:c>
      <x:c r="O42" s="12" t="str">
        <x:f>IF(A42="","",INDEX('17_코드북'!$B$6:$B$15,N42+1))</x:f>
      </x:c>
      <x:c r="P42" s="40" t="n">
        <x:f>IF(A42="",0,_xlfn.MAXIFS('13_검토이력'!$D$6:$D$305,'13_검토이력'!$B$6:$B$305,A42,'13_검토이력'!$O$6:$O$305,1,'13_검토이력'!$Q$6:$Q$305,1))</x:f>
        <x:v>0</x:v>
      </x:c>
      <x:c r="Q42" s="12" t="str">
        <x:f>IF(OR(L42=0,P42=0),"",'01_설정'!$B$6-P42)</x:f>
      </x:c>
      <x:c r="R42" s="12" t="n">
        <x:f>IF(OR(L42=0,M42=0),0,SUMIFS('13_검토이력'!$S$6:$S$305,'13_검토이력'!$P$6:$P$305,M42))</x:f>
        <x:v>0</x:v>
      </x:c>
      <x:c r="S42" s="12" t="n">
        <x:f>IF(AND(L42=1,N42&gt;=1,N42&lt;=4),1,0)</x:f>
        <x:v>0</x:v>
      </x:c>
      <x:c r="T42" s="12" t="n">
        <x:f>IF(AND(S42=1,Q42&gt;'01_설정'!$B$10),1,0)</x:f>
        <x:v>0</x:v>
      </x:c>
      <x:c r="U42" s="12" t="n">
        <x:f>IF(AND(L42=1,N42=5),1,0)</x:f>
        <x:v>0</x:v>
      </x:c>
      <x:c r="V42" s="12" t="str">
        <x:f>IF(AND(L42=1,N42&gt;=6,N42&lt;=8,P42&gt;0),P42-F42,"")</x:f>
      </x:c>
      <x:c r="W42" s="12" t="str">
        <x:f>IF(OR(A42="",M42=0),"",IFERROR(INDEX('13_검토이력'!$L$6:$L$305,MATCH(M42,'13_검토이력'!$P$6:$P$305,0)),""))</x:f>
      </x:c>
      <x:c r="X42" s="12" t="n">
        <x:f>IF(A42="",0,IF(COUNTIF('12_신청'!$A$6:$A$105,A42)&gt;1,1,0))</x:f>
        <x:v>0</x:v>
      </x:c>
    </x:row>
    <x:row r="43" ht="20" customHeight="1">
      <x:c r="A43" s="22"/>
      <x:c r="B43" s="22"/>
      <x:c r="C43" s="26"/>
      <x:c r="D43" s="22"/>
      <x:c r="E43" s="22"/>
      <x:c r="F43" s="28"/>
      <x:c r="G43" s="28"/>
      <x:c r="H43" s="22"/>
      <x:c r="I43" s="22"/>
      <x:c r="J43" s="22"/>
      <x:c r="K43" s="12" t="n">
        <x:f>IF(A43="",0,IF('01_설정'!$B$8="all",1,IF('01_설정'!$B$8="industry_transition",IF(OR(E43="industry",E43="transition"),1,0),IF(E43='01_설정'!$B$8,1,0))))</x:f>
        <x:v>0</x:v>
      </x:c>
      <x:c r="L43" s="12" t="n">
        <x:f>IF(A43="",0,IF(AND(K43=1,F43&lt;='01_설정'!$B$6,G43&lt;='01_설정'!$B$7),1,0))</x:f>
        <x:v>0</x:v>
      </x:c>
      <x:c r="M43" s="12" t="n">
        <x:f>IF(A43="",0,_xlfn.MAXIFS('13_검토이력'!$P$6:$P$305,'13_검토이력'!$B$6:$B$305,A43,'13_검토이력'!$O$6:$O$305,1))</x:f>
        <x:v>0</x:v>
      </x:c>
      <x:c r="N43" s="12" t="n">
        <x:f>IF(A43="",9,IF(M43=0,9,SUMIFS('13_검토이력'!$N$6:$N$305,'13_검토이력'!$P$6:$P$305,M43)))</x:f>
        <x:v>9</x:v>
      </x:c>
      <x:c r="O43" s="12" t="str">
        <x:f>IF(A43="","",INDEX('17_코드북'!$B$6:$B$15,N43+1))</x:f>
      </x:c>
      <x:c r="P43" s="40" t="n">
        <x:f>IF(A43="",0,_xlfn.MAXIFS('13_검토이력'!$D$6:$D$305,'13_검토이력'!$B$6:$B$305,A43,'13_검토이력'!$O$6:$O$305,1,'13_검토이력'!$Q$6:$Q$305,1))</x:f>
        <x:v>0</x:v>
      </x:c>
      <x:c r="Q43" s="12" t="str">
        <x:f>IF(OR(L43=0,P43=0),"",'01_설정'!$B$6-P43)</x:f>
      </x:c>
      <x:c r="R43" s="12" t="n">
        <x:f>IF(OR(L43=0,M43=0),0,SUMIFS('13_검토이력'!$S$6:$S$305,'13_검토이력'!$P$6:$P$305,M43))</x:f>
        <x:v>0</x:v>
      </x:c>
      <x:c r="S43" s="12" t="n">
        <x:f>IF(AND(L43=1,N43&gt;=1,N43&lt;=4),1,0)</x:f>
        <x:v>0</x:v>
      </x:c>
      <x:c r="T43" s="12" t="n">
        <x:f>IF(AND(S43=1,Q43&gt;'01_설정'!$B$10),1,0)</x:f>
        <x:v>0</x:v>
      </x:c>
      <x:c r="U43" s="12" t="n">
        <x:f>IF(AND(L43=1,N43=5),1,0)</x:f>
        <x:v>0</x:v>
      </x:c>
      <x:c r="V43" s="12" t="str">
        <x:f>IF(AND(L43=1,N43&gt;=6,N43&lt;=8,P43&gt;0),P43-F43,"")</x:f>
      </x:c>
      <x:c r="W43" s="12" t="str">
        <x:f>IF(OR(A43="",M43=0),"",IFERROR(INDEX('13_검토이력'!$L$6:$L$305,MATCH(M43,'13_검토이력'!$P$6:$P$305,0)),""))</x:f>
      </x:c>
      <x:c r="X43" s="12" t="n">
        <x:f>IF(A43="",0,IF(COUNTIF('12_신청'!$A$6:$A$105,A43)&gt;1,1,0))</x:f>
        <x:v>0</x:v>
      </x:c>
    </x:row>
    <x:row r="44" ht="20" customHeight="1">
      <x:c r="A44" s="22"/>
      <x:c r="B44" s="22"/>
      <x:c r="C44" s="26"/>
      <x:c r="D44" s="22"/>
      <x:c r="E44" s="22"/>
      <x:c r="F44" s="28"/>
      <x:c r="G44" s="28"/>
      <x:c r="H44" s="22"/>
      <x:c r="I44" s="22"/>
      <x:c r="J44" s="22"/>
      <x:c r="K44" s="12" t="n">
        <x:f>IF(A44="",0,IF('01_설정'!$B$8="all",1,IF('01_설정'!$B$8="industry_transition",IF(OR(E44="industry",E44="transition"),1,0),IF(E44='01_설정'!$B$8,1,0))))</x:f>
        <x:v>0</x:v>
      </x:c>
      <x:c r="L44" s="12" t="n">
        <x:f>IF(A44="",0,IF(AND(K44=1,F44&lt;='01_설정'!$B$6,G44&lt;='01_설정'!$B$7),1,0))</x:f>
        <x:v>0</x:v>
      </x:c>
      <x:c r="M44" s="12" t="n">
        <x:f>IF(A44="",0,_xlfn.MAXIFS('13_검토이력'!$P$6:$P$305,'13_검토이력'!$B$6:$B$305,A44,'13_검토이력'!$O$6:$O$305,1))</x:f>
        <x:v>0</x:v>
      </x:c>
      <x:c r="N44" s="12" t="n">
        <x:f>IF(A44="",9,IF(M44=0,9,SUMIFS('13_검토이력'!$N$6:$N$305,'13_검토이력'!$P$6:$P$305,M44)))</x:f>
        <x:v>9</x:v>
      </x:c>
      <x:c r="O44" s="12" t="str">
        <x:f>IF(A44="","",INDEX('17_코드북'!$B$6:$B$15,N44+1))</x:f>
      </x:c>
      <x:c r="P44" s="40" t="n">
        <x:f>IF(A44="",0,_xlfn.MAXIFS('13_검토이력'!$D$6:$D$305,'13_검토이력'!$B$6:$B$305,A44,'13_검토이력'!$O$6:$O$305,1,'13_검토이력'!$Q$6:$Q$305,1))</x:f>
        <x:v>0</x:v>
      </x:c>
      <x:c r="Q44" s="12" t="str">
        <x:f>IF(OR(L44=0,P44=0),"",'01_설정'!$B$6-P44)</x:f>
      </x:c>
      <x:c r="R44" s="12" t="n">
        <x:f>IF(OR(L44=0,M44=0),0,SUMIFS('13_검토이력'!$S$6:$S$305,'13_검토이력'!$P$6:$P$305,M44))</x:f>
        <x:v>0</x:v>
      </x:c>
      <x:c r="S44" s="12" t="n">
        <x:f>IF(AND(L44=1,N44&gt;=1,N44&lt;=4),1,0)</x:f>
        <x:v>0</x:v>
      </x:c>
      <x:c r="T44" s="12" t="n">
        <x:f>IF(AND(S44=1,Q44&gt;'01_설정'!$B$10),1,0)</x:f>
        <x:v>0</x:v>
      </x:c>
      <x:c r="U44" s="12" t="n">
        <x:f>IF(AND(L44=1,N44=5),1,0)</x:f>
        <x:v>0</x:v>
      </x:c>
      <x:c r="V44" s="12" t="str">
        <x:f>IF(AND(L44=1,N44&gt;=6,N44&lt;=8,P44&gt;0),P44-F44,"")</x:f>
      </x:c>
      <x:c r="W44" s="12" t="str">
        <x:f>IF(OR(A44="",M44=0),"",IFERROR(INDEX('13_검토이력'!$L$6:$L$305,MATCH(M44,'13_검토이력'!$P$6:$P$305,0)),""))</x:f>
      </x:c>
      <x:c r="X44" s="12" t="n">
        <x:f>IF(A44="",0,IF(COUNTIF('12_신청'!$A$6:$A$105,A44)&gt;1,1,0))</x:f>
        <x:v>0</x:v>
      </x:c>
    </x:row>
    <x:row r="45" ht="20" customHeight="1">
      <x:c r="A45" s="22"/>
      <x:c r="B45" s="22"/>
      <x:c r="C45" s="26"/>
      <x:c r="D45" s="22"/>
      <x:c r="E45" s="22"/>
      <x:c r="F45" s="28"/>
      <x:c r="G45" s="28"/>
      <x:c r="H45" s="22"/>
      <x:c r="I45" s="22"/>
      <x:c r="J45" s="22"/>
      <x:c r="K45" s="12" t="n">
        <x:f>IF(A45="",0,IF('01_설정'!$B$8="all",1,IF('01_설정'!$B$8="industry_transition",IF(OR(E45="industry",E45="transition"),1,0),IF(E45='01_설정'!$B$8,1,0))))</x:f>
        <x:v>0</x:v>
      </x:c>
      <x:c r="L45" s="12" t="n">
        <x:f>IF(A45="",0,IF(AND(K45=1,F45&lt;='01_설정'!$B$6,G45&lt;='01_설정'!$B$7),1,0))</x:f>
        <x:v>0</x:v>
      </x:c>
      <x:c r="M45" s="12" t="n">
        <x:f>IF(A45="",0,_xlfn.MAXIFS('13_검토이력'!$P$6:$P$305,'13_검토이력'!$B$6:$B$305,A45,'13_검토이력'!$O$6:$O$305,1))</x:f>
        <x:v>0</x:v>
      </x:c>
      <x:c r="N45" s="12" t="n">
        <x:f>IF(A45="",9,IF(M45=0,9,SUMIFS('13_검토이력'!$N$6:$N$305,'13_검토이력'!$P$6:$P$305,M45)))</x:f>
        <x:v>9</x:v>
      </x:c>
      <x:c r="O45" s="12" t="str">
        <x:f>IF(A45="","",INDEX('17_코드북'!$B$6:$B$15,N45+1))</x:f>
      </x:c>
      <x:c r="P45" s="40" t="n">
        <x:f>IF(A45="",0,_xlfn.MAXIFS('13_검토이력'!$D$6:$D$305,'13_검토이력'!$B$6:$B$305,A45,'13_검토이력'!$O$6:$O$305,1,'13_검토이력'!$Q$6:$Q$305,1))</x:f>
        <x:v>0</x:v>
      </x:c>
      <x:c r="Q45" s="12" t="str">
        <x:f>IF(OR(L45=0,P45=0),"",'01_설정'!$B$6-P45)</x:f>
      </x:c>
      <x:c r="R45" s="12" t="n">
        <x:f>IF(OR(L45=0,M45=0),0,SUMIFS('13_검토이력'!$S$6:$S$305,'13_검토이력'!$P$6:$P$305,M45))</x:f>
        <x:v>0</x:v>
      </x:c>
      <x:c r="S45" s="12" t="n">
        <x:f>IF(AND(L45=1,N45&gt;=1,N45&lt;=4),1,0)</x:f>
        <x:v>0</x:v>
      </x:c>
      <x:c r="T45" s="12" t="n">
        <x:f>IF(AND(S45=1,Q45&gt;'01_설정'!$B$10),1,0)</x:f>
        <x:v>0</x:v>
      </x:c>
      <x:c r="U45" s="12" t="n">
        <x:f>IF(AND(L45=1,N45=5),1,0)</x:f>
        <x:v>0</x:v>
      </x:c>
      <x:c r="V45" s="12" t="str">
        <x:f>IF(AND(L45=1,N45&gt;=6,N45&lt;=8,P45&gt;0),P45-F45,"")</x:f>
      </x:c>
      <x:c r="W45" s="12" t="str">
        <x:f>IF(OR(A45="",M45=0),"",IFERROR(INDEX('13_검토이력'!$L$6:$L$305,MATCH(M45,'13_검토이력'!$P$6:$P$305,0)),""))</x:f>
      </x:c>
      <x:c r="X45" s="12" t="n">
        <x:f>IF(A45="",0,IF(COUNTIF('12_신청'!$A$6:$A$105,A45)&gt;1,1,0))</x:f>
        <x:v>0</x:v>
      </x:c>
    </x:row>
    <x:row r="46" ht="20" customHeight="1">
      <x:c r="A46" s="22"/>
      <x:c r="B46" s="22"/>
      <x:c r="C46" s="26"/>
      <x:c r="D46" s="22"/>
      <x:c r="E46" s="22"/>
      <x:c r="F46" s="28"/>
      <x:c r="G46" s="28"/>
      <x:c r="H46" s="22"/>
      <x:c r="I46" s="22"/>
      <x:c r="J46" s="22"/>
      <x:c r="K46" s="12" t="n">
        <x:f>IF(A46="",0,IF('01_설정'!$B$8="all",1,IF('01_설정'!$B$8="industry_transition",IF(OR(E46="industry",E46="transition"),1,0),IF(E46='01_설정'!$B$8,1,0))))</x:f>
        <x:v>0</x:v>
      </x:c>
      <x:c r="L46" s="12" t="n">
        <x:f>IF(A46="",0,IF(AND(K46=1,F46&lt;='01_설정'!$B$6,G46&lt;='01_설정'!$B$7),1,0))</x:f>
        <x:v>0</x:v>
      </x:c>
      <x:c r="M46" s="12" t="n">
        <x:f>IF(A46="",0,_xlfn.MAXIFS('13_검토이력'!$P$6:$P$305,'13_검토이력'!$B$6:$B$305,A46,'13_검토이력'!$O$6:$O$305,1))</x:f>
        <x:v>0</x:v>
      </x:c>
      <x:c r="N46" s="12" t="n">
        <x:f>IF(A46="",9,IF(M46=0,9,SUMIFS('13_검토이력'!$N$6:$N$305,'13_검토이력'!$P$6:$P$305,M46)))</x:f>
        <x:v>9</x:v>
      </x:c>
      <x:c r="O46" s="12" t="str">
        <x:f>IF(A46="","",INDEX('17_코드북'!$B$6:$B$15,N46+1))</x:f>
      </x:c>
      <x:c r="P46" s="40" t="n">
        <x:f>IF(A46="",0,_xlfn.MAXIFS('13_검토이력'!$D$6:$D$305,'13_검토이력'!$B$6:$B$305,A46,'13_검토이력'!$O$6:$O$305,1,'13_검토이력'!$Q$6:$Q$305,1))</x:f>
        <x:v>0</x:v>
      </x:c>
      <x:c r="Q46" s="12" t="str">
        <x:f>IF(OR(L46=0,P46=0),"",'01_설정'!$B$6-P46)</x:f>
      </x:c>
      <x:c r="R46" s="12" t="n">
        <x:f>IF(OR(L46=0,M46=0),0,SUMIFS('13_검토이력'!$S$6:$S$305,'13_검토이력'!$P$6:$P$305,M46))</x:f>
        <x:v>0</x:v>
      </x:c>
      <x:c r="S46" s="12" t="n">
        <x:f>IF(AND(L46=1,N46&gt;=1,N46&lt;=4),1,0)</x:f>
        <x:v>0</x:v>
      </x:c>
      <x:c r="T46" s="12" t="n">
        <x:f>IF(AND(S46=1,Q46&gt;'01_설정'!$B$10),1,0)</x:f>
        <x:v>0</x:v>
      </x:c>
      <x:c r="U46" s="12" t="n">
        <x:f>IF(AND(L46=1,N46=5),1,0)</x:f>
        <x:v>0</x:v>
      </x:c>
      <x:c r="V46" s="12" t="str">
        <x:f>IF(AND(L46=1,N46&gt;=6,N46&lt;=8,P46&gt;0),P46-F46,"")</x:f>
      </x:c>
      <x:c r="W46" s="12" t="str">
        <x:f>IF(OR(A46="",M46=0),"",IFERROR(INDEX('13_검토이력'!$L$6:$L$305,MATCH(M46,'13_검토이력'!$P$6:$P$305,0)),""))</x:f>
      </x:c>
      <x:c r="X46" s="12" t="n">
        <x:f>IF(A46="",0,IF(COUNTIF('12_신청'!$A$6:$A$105,A46)&gt;1,1,0))</x:f>
        <x:v>0</x:v>
      </x:c>
    </x:row>
    <x:row r="47" ht="20" customHeight="1">
      <x:c r="A47" s="22"/>
      <x:c r="B47" s="22"/>
      <x:c r="C47" s="26"/>
      <x:c r="D47" s="22"/>
      <x:c r="E47" s="22"/>
      <x:c r="F47" s="28"/>
      <x:c r="G47" s="28"/>
      <x:c r="H47" s="22"/>
      <x:c r="I47" s="22"/>
      <x:c r="J47" s="22"/>
      <x:c r="K47" s="12" t="n">
        <x:f>IF(A47="",0,IF('01_설정'!$B$8="all",1,IF('01_설정'!$B$8="industry_transition",IF(OR(E47="industry",E47="transition"),1,0),IF(E47='01_설정'!$B$8,1,0))))</x:f>
        <x:v>0</x:v>
      </x:c>
      <x:c r="L47" s="12" t="n">
        <x:f>IF(A47="",0,IF(AND(K47=1,F47&lt;='01_설정'!$B$6,G47&lt;='01_설정'!$B$7),1,0))</x:f>
        <x:v>0</x:v>
      </x:c>
      <x:c r="M47" s="12" t="n">
        <x:f>IF(A47="",0,_xlfn.MAXIFS('13_검토이력'!$P$6:$P$305,'13_검토이력'!$B$6:$B$305,A47,'13_검토이력'!$O$6:$O$305,1))</x:f>
        <x:v>0</x:v>
      </x:c>
      <x:c r="N47" s="12" t="n">
        <x:f>IF(A47="",9,IF(M47=0,9,SUMIFS('13_검토이력'!$N$6:$N$305,'13_검토이력'!$P$6:$P$305,M47)))</x:f>
        <x:v>9</x:v>
      </x:c>
      <x:c r="O47" s="12" t="str">
        <x:f>IF(A47="","",INDEX('17_코드북'!$B$6:$B$15,N47+1))</x:f>
      </x:c>
      <x:c r="P47" s="40" t="n">
        <x:f>IF(A47="",0,_xlfn.MAXIFS('13_검토이력'!$D$6:$D$305,'13_검토이력'!$B$6:$B$305,A47,'13_검토이력'!$O$6:$O$305,1,'13_검토이력'!$Q$6:$Q$305,1))</x:f>
        <x:v>0</x:v>
      </x:c>
      <x:c r="Q47" s="12" t="str">
        <x:f>IF(OR(L47=0,P47=0),"",'01_설정'!$B$6-P47)</x:f>
      </x:c>
      <x:c r="R47" s="12" t="n">
        <x:f>IF(OR(L47=0,M47=0),0,SUMIFS('13_검토이력'!$S$6:$S$305,'13_검토이력'!$P$6:$P$305,M47))</x:f>
        <x:v>0</x:v>
      </x:c>
      <x:c r="S47" s="12" t="n">
        <x:f>IF(AND(L47=1,N47&gt;=1,N47&lt;=4),1,0)</x:f>
        <x:v>0</x:v>
      </x:c>
      <x:c r="T47" s="12" t="n">
        <x:f>IF(AND(S47=1,Q47&gt;'01_설정'!$B$10),1,0)</x:f>
        <x:v>0</x:v>
      </x:c>
      <x:c r="U47" s="12" t="n">
        <x:f>IF(AND(L47=1,N47=5),1,0)</x:f>
        <x:v>0</x:v>
      </x:c>
      <x:c r="V47" s="12" t="str">
        <x:f>IF(AND(L47=1,N47&gt;=6,N47&lt;=8,P47&gt;0),P47-F47,"")</x:f>
      </x:c>
      <x:c r="W47" s="12" t="str">
        <x:f>IF(OR(A47="",M47=0),"",IFERROR(INDEX('13_검토이력'!$L$6:$L$305,MATCH(M47,'13_검토이력'!$P$6:$P$305,0)),""))</x:f>
      </x:c>
      <x:c r="X47" s="12" t="n">
        <x:f>IF(A47="",0,IF(COUNTIF('12_신청'!$A$6:$A$105,A47)&gt;1,1,0))</x:f>
        <x:v>0</x:v>
      </x:c>
    </x:row>
    <x:row r="48" ht="20" customHeight="1">
      <x:c r="A48" s="22"/>
      <x:c r="B48" s="22"/>
      <x:c r="C48" s="26"/>
      <x:c r="D48" s="22"/>
      <x:c r="E48" s="22"/>
      <x:c r="F48" s="28"/>
      <x:c r="G48" s="28"/>
      <x:c r="H48" s="22"/>
      <x:c r="I48" s="22"/>
      <x:c r="J48" s="22"/>
      <x:c r="K48" s="12" t="n">
        <x:f>IF(A48="",0,IF('01_설정'!$B$8="all",1,IF('01_설정'!$B$8="industry_transition",IF(OR(E48="industry",E48="transition"),1,0),IF(E48='01_설정'!$B$8,1,0))))</x:f>
        <x:v>0</x:v>
      </x:c>
      <x:c r="L48" s="12" t="n">
        <x:f>IF(A48="",0,IF(AND(K48=1,F48&lt;='01_설정'!$B$6,G48&lt;='01_설정'!$B$7),1,0))</x:f>
        <x:v>0</x:v>
      </x:c>
      <x:c r="M48" s="12" t="n">
        <x:f>IF(A48="",0,_xlfn.MAXIFS('13_검토이력'!$P$6:$P$305,'13_검토이력'!$B$6:$B$305,A48,'13_검토이력'!$O$6:$O$305,1))</x:f>
        <x:v>0</x:v>
      </x:c>
      <x:c r="N48" s="12" t="n">
        <x:f>IF(A48="",9,IF(M48=0,9,SUMIFS('13_검토이력'!$N$6:$N$305,'13_검토이력'!$P$6:$P$305,M48)))</x:f>
        <x:v>9</x:v>
      </x:c>
      <x:c r="O48" s="12" t="str">
        <x:f>IF(A48="","",INDEX('17_코드북'!$B$6:$B$15,N48+1))</x:f>
      </x:c>
      <x:c r="P48" s="40" t="n">
        <x:f>IF(A48="",0,_xlfn.MAXIFS('13_검토이력'!$D$6:$D$305,'13_검토이력'!$B$6:$B$305,A48,'13_검토이력'!$O$6:$O$305,1,'13_검토이력'!$Q$6:$Q$305,1))</x:f>
        <x:v>0</x:v>
      </x:c>
      <x:c r="Q48" s="12" t="str">
        <x:f>IF(OR(L48=0,P48=0),"",'01_설정'!$B$6-P48)</x:f>
      </x:c>
      <x:c r="R48" s="12" t="n">
        <x:f>IF(OR(L48=0,M48=0),0,SUMIFS('13_검토이력'!$S$6:$S$305,'13_검토이력'!$P$6:$P$305,M48))</x:f>
        <x:v>0</x:v>
      </x:c>
      <x:c r="S48" s="12" t="n">
        <x:f>IF(AND(L48=1,N48&gt;=1,N48&lt;=4),1,0)</x:f>
        <x:v>0</x:v>
      </x:c>
      <x:c r="T48" s="12" t="n">
        <x:f>IF(AND(S48=1,Q48&gt;'01_설정'!$B$10),1,0)</x:f>
        <x:v>0</x:v>
      </x:c>
      <x:c r="U48" s="12" t="n">
        <x:f>IF(AND(L48=1,N48=5),1,0)</x:f>
        <x:v>0</x:v>
      </x:c>
      <x:c r="V48" s="12" t="str">
        <x:f>IF(AND(L48=1,N48&gt;=6,N48&lt;=8,P48&gt;0),P48-F48,"")</x:f>
      </x:c>
      <x:c r="W48" s="12" t="str">
        <x:f>IF(OR(A48="",M48=0),"",IFERROR(INDEX('13_검토이력'!$L$6:$L$305,MATCH(M48,'13_검토이력'!$P$6:$P$305,0)),""))</x:f>
      </x:c>
      <x:c r="X48" s="12" t="n">
        <x:f>IF(A48="",0,IF(COUNTIF('12_신청'!$A$6:$A$105,A48)&gt;1,1,0))</x:f>
        <x:v>0</x:v>
      </x:c>
    </x:row>
    <x:row r="49" ht="20" customHeight="1">
      <x:c r="A49" s="22"/>
      <x:c r="B49" s="22"/>
      <x:c r="C49" s="26"/>
      <x:c r="D49" s="22"/>
      <x:c r="E49" s="22"/>
      <x:c r="F49" s="28"/>
      <x:c r="G49" s="28"/>
      <x:c r="H49" s="22"/>
      <x:c r="I49" s="22"/>
      <x:c r="J49" s="22"/>
      <x:c r="K49" s="12" t="n">
        <x:f>IF(A49="",0,IF('01_설정'!$B$8="all",1,IF('01_설정'!$B$8="industry_transition",IF(OR(E49="industry",E49="transition"),1,0),IF(E49='01_설정'!$B$8,1,0))))</x:f>
        <x:v>0</x:v>
      </x:c>
      <x:c r="L49" s="12" t="n">
        <x:f>IF(A49="",0,IF(AND(K49=1,F49&lt;='01_설정'!$B$6,G49&lt;='01_설정'!$B$7),1,0))</x:f>
        <x:v>0</x:v>
      </x:c>
      <x:c r="M49" s="12" t="n">
        <x:f>IF(A49="",0,_xlfn.MAXIFS('13_검토이력'!$P$6:$P$305,'13_검토이력'!$B$6:$B$305,A49,'13_검토이력'!$O$6:$O$305,1))</x:f>
        <x:v>0</x:v>
      </x:c>
      <x:c r="N49" s="12" t="n">
        <x:f>IF(A49="",9,IF(M49=0,9,SUMIFS('13_검토이력'!$N$6:$N$305,'13_검토이력'!$P$6:$P$305,M49)))</x:f>
        <x:v>9</x:v>
      </x:c>
      <x:c r="O49" s="12" t="str">
        <x:f>IF(A49="","",INDEX('17_코드북'!$B$6:$B$15,N49+1))</x:f>
      </x:c>
      <x:c r="P49" s="40" t="n">
        <x:f>IF(A49="",0,_xlfn.MAXIFS('13_검토이력'!$D$6:$D$305,'13_검토이력'!$B$6:$B$305,A49,'13_검토이력'!$O$6:$O$305,1,'13_검토이력'!$Q$6:$Q$305,1))</x:f>
        <x:v>0</x:v>
      </x:c>
      <x:c r="Q49" s="12" t="str">
        <x:f>IF(OR(L49=0,P49=0),"",'01_설정'!$B$6-P49)</x:f>
      </x:c>
      <x:c r="R49" s="12" t="n">
        <x:f>IF(OR(L49=0,M49=0),0,SUMIFS('13_검토이력'!$S$6:$S$305,'13_검토이력'!$P$6:$P$305,M49))</x:f>
        <x:v>0</x:v>
      </x:c>
      <x:c r="S49" s="12" t="n">
        <x:f>IF(AND(L49=1,N49&gt;=1,N49&lt;=4),1,0)</x:f>
        <x:v>0</x:v>
      </x:c>
      <x:c r="T49" s="12" t="n">
        <x:f>IF(AND(S49=1,Q49&gt;'01_설정'!$B$10),1,0)</x:f>
        <x:v>0</x:v>
      </x:c>
      <x:c r="U49" s="12" t="n">
        <x:f>IF(AND(L49=1,N49=5),1,0)</x:f>
        <x:v>0</x:v>
      </x:c>
      <x:c r="V49" s="12" t="str">
        <x:f>IF(AND(L49=1,N49&gt;=6,N49&lt;=8,P49&gt;0),P49-F49,"")</x:f>
      </x:c>
      <x:c r="W49" s="12" t="str">
        <x:f>IF(OR(A49="",M49=0),"",IFERROR(INDEX('13_검토이력'!$L$6:$L$305,MATCH(M49,'13_검토이력'!$P$6:$P$305,0)),""))</x:f>
      </x:c>
      <x:c r="X49" s="12" t="n">
        <x:f>IF(A49="",0,IF(COUNTIF('12_신청'!$A$6:$A$105,A49)&gt;1,1,0))</x:f>
        <x:v>0</x:v>
      </x:c>
    </x:row>
    <x:row r="50" ht="20" customHeight="1">
      <x:c r="A50" s="22"/>
      <x:c r="B50" s="22"/>
      <x:c r="C50" s="26"/>
      <x:c r="D50" s="22"/>
      <x:c r="E50" s="22"/>
      <x:c r="F50" s="28"/>
      <x:c r="G50" s="28"/>
      <x:c r="H50" s="22"/>
      <x:c r="I50" s="22"/>
      <x:c r="J50" s="22"/>
      <x:c r="K50" s="12" t="n">
        <x:f>IF(A50="",0,IF('01_설정'!$B$8="all",1,IF('01_설정'!$B$8="industry_transition",IF(OR(E50="industry",E50="transition"),1,0),IF(E50='01_설정'!$B$8,1,0))))</x:f>
        <x:v>0</x:v>
      </x:c>
      <x:c r="L50" s="12" t="n">
        <x:f>IF(A50="",0,IF(AND(K50=1,F50&lt;='01_설정'!$B$6,G50&lt;='01_설정'!$B$7),1,0))</x:f>
        <x:v>0</x:v>
      </x:c>
      <x:c r="M50" s="12" t="n">
        <x:f>IF(A50="",0,_xlfn.MAXIFS('13_검토이력'!$P$6:$P$305,'13_검토이력'!$B$6:$B$305,A50,'13_검토이력'!$O$6:$O$305,1))</x:f>
        <x:v>0</x:v>
      </x:c>
      <x:c r="N50" s="12" t="n">
        <x:f>IF(A50="",9,IF(M50=0,9,SUMIFS('13_검토이력'!$N$6:$N$305,'13_검토이력'!$P$6:$P$305,M50)))</x:f>
        <x:v>9</x:v>
      </x:c>
      <x:c r="O50" s="12" t="str">
        <x:f>IF(A50="","",INDEX('17_코드북'!$B$6:$B$15,N50+1))</x:f>
      </x:c>
      <x:c r="P50" s="40" t="n">
        <x:f>IF(A50="",0,_xlfn.MAXIFS('13_검토이력'!$D$6:$D$305,'13_검토이력'!$B$6:$B$305,A50,'13_검토이력'!$O$6:$O$305,1,'13_검토이력'!$Q$6:$Q$305,1))</x:f>
        <x:v>0</x:v>
      </x:c>
      <x:c r="Q50" s="12" t="str">
        <x:f>IF(OR(L50=0,P50=0),"",'01_설정'!$B$6-P50)</x:f>
      </x:c>
      <x:c r="R50" s="12" t="n">
        <x:f>IF(OR(L50=0,M50=0),0,SUMIFS('13_검토이력'!$S$6:$S$305,'13_검토이력'!$P$6:$P$305,M50))</x:f>
        <x:v>0</x:v>
      </x:c>
      <x:c r="S50" s="12" t="n">
        <x:f>IF(AND(L50=1,N50&gt;=1,N50&lt;=4),1,0)</x:f>
        <x:v>0</x:v>
      </x:c>
      <x:c r="T50" s="12" t="n">
        <x:f>IF(AND(S50=1,Q50&gt;'01_설정'!$B$10),1,0)</x:f>
        <x:v>0</x:v>
      </x:c>
      <x:c r="U50" s="12" t="n">
        <x:f>IF(AND(L50=1,N50=5),1,0)</x:f>
        <x:v>0</x:v>
      </x:c>
      <x:c r="V50" s="12" t="str">
        <x:f>IF(AND(L50=1,N50&gt;=6,N50&lt;=8,P50&gt;0),P50-F50,"")</x:f>
      </x:c>
      <x:c r="W50" s="12" t="str">
        <x:f>IF(OR(A50="",M50=0),"",IFERROR(INDEX('13_검토이력'!$L$6:$L$305,MATCH(M50,'13_검토이력'!$P$6:$P$305,0)),""))</x:f>
      </x:c>
      <x:c r="X50" s="12" t="n">
        <x:f>IF(A50="",0,IF(COUNTIF('12_신청'!$A$6:$A$105,A50)&gt;1,1,0))</x:f>
        <x:v>0</x:v>
      </x:c>
    </x:row>
    <x:row r="51" ht="20" customHeight="1">
      <x:c r="A51" s="22"/>
      <x:c r="B51" s="22"/>
      <x:c r="C51" s="26"/>
      <x:c r="D51" s="22"/>
      <x:c r="E51" s="22"/>
      <x:c r="F51" s="28"/>
      <x:c r="G51" s="28"/>
      <x:c r="H51" s="22"/>
      <x:c r="I51" s="22"/>
      <x:c r="J51" s="22"/>
      <x:c r="K51" s="36" t="n">
        <x:f>IF(A51="",0,IF('01_설정'!$B$8="all",1,IF('01_설정'!$B$8="industry_transition",IF(OR(E51="industry",E51="transition"),1,0),IF(E51='01_설정'!$B$8,1,0))))</x:f>
        <x:v>0</x:v>
      </x:c>
      <x:c r="L51" s="36" t="n">
        <x:f>IF(A51="",0,IF(AND(K51=1,F51&lt;='01_설정'!$B$6,G51&lt;='01_설정'!$B$7),1,0))</x:f>
        <x:v>0</x:v>
      </x:c>
      <x:c r="M51" s="36" t="n">
        <x:f>IF(A51="",0,_xlfn.MAXIFS('13_검토이력'!$P$6:$P$305,'13_검토이력'!$B$6:$B$305,A51,'13_검토이력'!$O$6:$O$305,1))</x:f>
        <x:v>0</x:v>
      </x:c>
      <x:c r="N51" s="36" t="n">
        <x:f>IF(A51="",9,IF(M51=0,9,SUMIFS('13_검토이력'!$N$6:$N$305,'13_검토이력'!$P$6:$P$305,M51)))</x:f>
        <x:v>9</x:v>
      </x:c>
      <x:c r="O51" s="36" t="str">
        <x:f>IF(A51="","",INDEX('17_코드북'!$B$6:$B$15,N51+1))</x:f>
      </x:c>
      <x:c r="P51" s="41" t="n">
        <x:f>IF(A51="",0,_xlfn.MAXIFS('13_검토이력'!$D$6:$D$305,'13_검토이력'!$B$6:$B$305,A51,'13_검토이력'!$O$6:$O$305,1,'13_검토이력'!$Q$6:$Q$305,1))</x:f>
        <x:v>0</x:v>
      </x:c>
      <x:c r="Q51" s="36" t="str">
        <x:f>IF(OR(L51=0,P51=0),"",'01_설정'!$B$6-P51)</x:f>
      </x:c>
      <x:c r="R51" s="36" t="n">
        <x:f>IF(OR(L51=0,M51=0),0,SUMIFS('13_검토이력'!$S$6:$S$305,'13_검토이력'!$P$6:$P$305,M51))</x:f>
        <x:v>0</x:v>
      </x:c>
      <x:c r="S51" s="36" t="n">
        <x:f>IF(AND(L51=1,N51&gt;=1,N51&lt;=4),1,0)</x:f>
        <x:v>0</x:v>
      </x:c>
      <x:c r="T51" s="36" t="n">
        <x:f>IF(AND(S51=1,Q51&gt;'01_설정'!$B$10),1,0)</x:f>
        <x:v>0</x:v>
      </x:c>
      <x:c r="U51" s="36" t="n">
        <x:f>IF(AND(L51=1,N51=5),1,0)</x:f>
        <x:v>0</x:v>
      </x:c>
      <x:c r="V51" s="36" t="str">
        <x:f>IF(AND(L51=1,N51&gt;=6,N51&lt;=8,P51&gt;0),P51-F51,"")</x:f>
      </x:c>
      <x:c r="W51" s="36" t="str">
        <x:f>IF(OR(A51="",M51=0),"",IFERROR(INDEX('13_검토이력'!$L$6:$L$305,MATCH(M51,'13_검토이력'!$P$6:$P$305,0)),""))</x:f>
      </x:c>
      <x:c r="X51" s="36" t="n">
        <x:f>IF(A51="",0,IF(COUNTIF('12_신청'!$A$6:$A$105,A51)&gt;1,1,0))</x:f>
        <x:v>0</x:v>
      </x:c>
    </x:row>
    <x:row r="52" ht="20" customHeight="1">
      <x:c r="A52" s="22"/>
      <x:c r="B52" s="22"/>
      <x:c r="C52" s="26"/>
      <x:c r="D52" s="22"/>
      <x:c r="E52" s="22"/>
      <x:c r="F52" s="28"/>
      <x:c r="G52" s="28"/>
      <x:c r="H52" s="22"/>
      <x:c r="I52" s="22"/>
      <x:c r="J52" s="22"/>
      <x:c r="K52" s="36" t="n">
        <x:f>IF(A52="",0,IF('01_설정'!$B$8="all",1,IF('01_설정'!$B$8="industry_transition",IF(OR(E52="industry",E52="transition"),1,0),IF(E52='01_설정'!$B$8,1,0))))</x:f>
        <x:v>0</x:v>
      </x:c>
      <x:c r="L52" s="36" t="n">
        <x:f>IF(A52="",0,IF(AND(K52=1,F52&lt;='01_설정'!$B$6,G52&lt;='01_설정'!$B$7),1,0))</x:f>
        <x:v>0</x:v>
      </x:c>
      <x:c r="M52" s="36" t="n">
        <x:f>IF(A52="",0,_xlfn.MAXIFS('13_검토이력'!$P$6:$P$305,'13_검토이력'!$B$6:$B$305,A52,'13_검토이력'!$O$6:$O$305,1))</x:f>
        <x:v>0</x:v>
      </x:c>
      <x:c r="N52" s="36" t="n">
        <x:f>IF(A52="",9,IF(M52=0,9,SUMIFS('13_검토이력'!$N$6:$N$305,'13_검토이력'!$P$6:$P$305,M52)))</x:f>
        <x:v>9</x:v>
      </x:c>
      <x:c r="O52" s="36" t="str">
        <x:f>IF(A52="","",INDEX('17_코드북'!$B$6:$B$15,N52+1))</x:f>
      </x:c>
      <x:c r="P52" s="41" t="n">
        <x:f>IF(A52="",0,_xlfn.MAXIFS('13_검토이력'!$D$6:$D$305,'13_검토이력'!$B$6:$B$305,A52,'13_검토이력'!$O$6:$O$305,1,'13_검토이력'!$Q$6:$Q$305,1))</x:f>
        <x:v>0</x:v>
      </x:c>
      <x:c r="Q52" s="36" t="str">
        <x:f>IF(OR(L52=0,P52=0),"",'01_설정'!$B$6-P52)</x:f>
      </x:c>
      <x:c r="R52" s="36" t="n">
        <x:f>IF(OR(L52=0,M52=0),0,SUMIFS('13_검토이력'!$S$6:$S$305,'13_검토이력'!$P$6:$P$305,M52))</x:f>
        <x:v>0</x:v>
      </x:c>
      <x:c r="S52" s="36" t="n">
        <x:f>IF(AND(L52=1,N52&gt;=1,N52&lt;=4),1,0)</x:f>
        <x:v>0</x:v>
      </x:c>
      <x:c r="T52" s="36" t="n">
        <x:f>IF(AND(S52=1,Q52&gt;'01_설정'!$B$10),1,0)</x:f>
        <x:v>0</x:v>
      </x:c>
      <x:c r="U52" s="36" t="n">
        <x:f>IF(AND(L52=1,N52=5),1,0)</x:f>
        <x:v>0</x:v>
      </x:c>
      <x:c r="V52" s="36" t="str">
        <x:f>IF(AND(L52=1,N52&gt;=6,N52&lt;=8,P52&gt;0),P52-F52,"")</x:f>
      </x:c>
      <x:c r="W52" s="36" t="str">
        <x:f>IF(OR(A52="",M52=0),"",IFERROR(INDEX('13_검토이력'!$L$6:$L$305,MATCH(M52,'13_검토이력'!$P$6:$P$305,0)),""))</x:f>
      </x:c>
      <x:c r="X52" s="36" t="n">
        <x:f>IF(A52="",0,IF(COUNTIF('12_신청'!$A$6:$A$105,A52)&gt;1,1,0))</x:f>
        <x:v>0</x:v>
      </x:c>
    </x:row>
    <x:row r="53" ht="20" customHeight="1">
      <x:c r="A53" s="22"/>
      <x:c r="B53" s="22"/>
      <x:c r="C53" s="26"/>
      <x:c r="D53" s="22"/>
      <x:c r="E53" s="22"/>
      <x:c r="F53" s="28"/>
      <x:c r="G53" s="28"/>
      <x:c r="H53" s="22"/>
      <x:c r="I53" s="22"/>
      <x:c r="J53" s="22"/>
      <x:c r="K53" s="36" t="n">
        <x:f>IF(A53="",0,IF('01_설정'!$B$8="all",1,IF('01_설정'!$B$8="industry_transition",IF(OR(E53="industry",E53="transition"),1,0),IF(E53='01_설정'!$B$8,1,0))))</x:f>
        <x:v>0</x:v>
      </x:c>
      <x:c r="L53" s="36" t="n">
        <x:f>IF(A53="",0,IF(AND(K53=1,F53&lt;='01_설정'!$B$6,G53&lt;='01_설정'!$B$7),1,0))</x:f>
        <x:v>0</x:v>
      </x:c>
      <x:c r="M53" s="36" t="n">
        <x:f>IF(A53="",0,_xlfn.MAXIFS('13_검토이력'!$P$6:$P$305,'13_검토이력'!$B$6:$B$305,A53,'13_검토이력'!$O$6:$O$305,1))</x:f>
        <x:v>0</x:v>
      </x:c>
      <x:c r="N53" s="36" t="n">
        <x:f>IF(A53="",9,IF(M53=0,9,SUMIFS('13_검토이력'!$N$6:$N$305,'13_검토이력'!$P$6:$P$305,M53)))</x:f>
        <x:v>9</x:v>
      </x:c>
      <x:c r="O53" s="36" t="str">
        <x:f>IF(A53="","",INDEX('17_코드북'!$B$6:$B$15,N53+1))</x:f>
      </x:c>
      <x:c r="P53" s="41" t="n">
        <x:f>IF(A53="",0,_xlfn.MAXIFS('13_검토이력'!$D$6:$D$305,'13_검토이력'!$B$6:$B$305,A53,'13_검토이력'!$O$6:$O$305,1,'13_검토이력'!$Q$6:$Q$305,1))</x:f>
        <x:v>0</x:v>
      </x:c>
      <x:c r="Q53" s="36" t="str">
        <x:f>IF(OR(L53=0,P53=0),"",'01_설정'!$B$6-P53)</x:f>
      </x:c>
      <x:c r="R53" s="36" t="n">
        <x:f>IF(OR(L53=0,M53=0),0,SUMIFS('13_검토이력'!$S$6:$S$305,'13_검토이력'!$P$6:$P$305,M53))</x:f>
        <x:v>0</x:v>
      </x:c>
      <x:c r="S53" s="36" t="n">
        <x:f>IF(AND(L53=1,N53&gt;=1,N53&lt;=4),1,0)</x:f>
        <x:v>0</x:v>
      </x:c>
      <x:c r="T53" s="36" t="n">
        <x:f>IF(AND(S53=1,Q53&gt;'01_설정'!$B$10),1,0)</x:f>
        <x:v>0</x:v>
      </x:c>
      <x:c r="U53" s="36" t="n">
        <x:f>IF(AND(L53=1,N53=5),1,0)</x:f>
        <x:v>0</x:v>
      </x:c>
      <x:c r="V53" s="36" t="str">
        <x:f>IF(AND(L53=1,N53&gt;=6,N53&lt;=8,P53&gt;0),P53-F53,"")</x:f>
      </x:c>
      <x:c r="W53" s="36" t="str">
        <x:f>IF(OR(A53="",M53=0),"",IFERROR(INDEX('13_검토이력'!$L$6:$L$305,MATCH(M53,'13_검토이력'!$P$6:$P$305,0)),""))</x:f>
      </x:c>
      <x:c r="X53" s="36" t="n">
        <x:f>IF(A53="",0,IF(COUNTIF('12_신청'!$A$6:$A$105,A53)&gt;1,1,0))</x:f>
        <x:v>0</x:v>
      </x:c>
    </x:row>
    <x:row r="54" ht="20" customHeight="1">
      <x:c r="A54" s="22"/>
      <x:c r="B54" s="22"/>
      <x:c r="C54" s="26"/>
      <x:c r="D54" s="22"/>
      <x:c r="E54" s="22"/>
      <x:c r="F54" s="28"/>
      <x:c r="G54" s="28"/>
      <x:c r="H54" s="22"/>
      <x:c r="I54" s="22"/>
      <x:c r="J54" s="22"/>
      <x:c r="K54" s="36" t="n">
        <x:f>IF(A54="",0,IF('01_설정'!$B$8="all",1,IF('01_설정'!$B$8="industry_transition",IF(OR(E54="industry",E54="transition"),1,0),IF(E54='01_설정'!$B$8,1,0))))</x:f>
        <x:v>0</x:v>
      </x:c>
      <x:c r="L54" s="36" t="n">
        <x:f>IF(A54="",0,IF(AND(K54=1,F54&lt;='01_설정'!$B$6,G54&lt;='01_설정'!$B$7),1,0))</x:f>
        <x:v>0</x:v>
      </x:c>
      <x:c r="M54" s="36" t="n">
        <x:f>IF(A54="",0,_xlfn.MAXIFS('13_검토이력'!$P$6:$P$305,'13_검토이력'!$B$6:$B$305,A54,'13_검토이력'!$O$6:$O$305,1))</x:f>
        <x:v>0</x:v>
      </x:c>
      <x:c r="N54" s="36" t="n">
        <x:f>IF(A54="",9,IF(M54=0,9,SUMIFS('13_검토이력'!$N$6:$N$305,'13_검토이력'!$P$6:$P$305,M54)))</x:f>
        <x:v>9</x:v>
      </x:c>
      <x:c r="O54" s="36" t="str">
        <x:f>IF(A54="","",INDEX('17_코드북'!$B$6:$B$15,N54+1))</x:f>
      </x:c>
      <x:c r="P54" s="41" t="n">
        <x:f>IF(A54="",0,_xlfn.MAXIFS('13_검토이력'!$D$6:$D$305,'13_검토이력'!$B$6:$B$305,A54,'13_검토이력'!$O$6:$O$305,1,'13_검토이력'!$Q$6:$Q$305,1))</x:f>
        <x:v>0</x:v>
      </x:c>
      <x:c r="Q54" s="36" t="str">
        <x:f>IF(OR(L54=0,P54=0),"",'01_설정'!$B$6-P54)</x:f>
      </x:c>
      <x:c r="R54" s="36" t="n">
        <x:f>IF(OR(L54=0,M54=0),0,SUMIFS('13_검토이력'!$S$6:$S$305,'13_검토이력'!$P$6:$P$305,M54))</x:f>
        <x:v>0</x:v>
      </x:c>
      <x:c r="S54" s="36" t="n">
        <x:f>IF(AND(L54=1,N54&gt;=1,N54&lt;=4),1,0)</x:f>
        <x:v>0</x:v>
      </x:c>
      <x:c r="T54" s="36" t="n">
        <x:f>IF(AND(S54=1,Q54&gt;'01_설정'!$B$10),1,0)</x:f>
        <x:v>0</x:v>
      </x:c>
      <x:c r="U54" s="36" t="n">
        <x:f>IF(AND(L54=1,N54=5),1,0)</x:f>
        <x:v>0</x:v>
      </x:c>
      <x:c r="V54" s="36" t="str">
        <x:f>IF(AND(L54=1,N54&gt;=6,N54&lt;=8,P54&gt;0),P54-F54,"")</x:f>
      </x:c>
      <x:c r="W54" s="36" t="str">
        <x:f>IF(OR(A54="",M54=0),"",IFERROR(INDEX('13_검토이력'!$L$6:$L$305,MATCH(M54,'13_검토이력'!$P$6:$P$305,0)),""))</x:f>
      </x:c>
      <x:c r="X54" s="36" t="n">
        <x:f>IF(A54="",0,IF(COUNTIF('12_신청'!$A$6:$A$105,A54)&gt;1,1,0))</x:f>
        <x:v>0</x:v>
      </x:c>
    </x:row>
    <x:row r="55" ht="20" customHeight="1">
      <x:c r="A55" s="22"/>
      <x:c r="B55" s="22"/>
      <x:c r="C55" s="26"/>
      <x:c r="D55" s="22"/>
      <x:c r="E55" s="22"/>
      <x:c r="F55" s="28"/>
      <x:c r="G55" s="28"/>
      <x:c r="H55" s="22"/>
      <x:c r="I55" s="22"/>
      <x:c r="J55" s="22"/>
      <x:c r="K55" s="36" t="n">
        <x:f>IF(A55="",0,IF('01_설정'!$B$8="all",1,IF('01_설정'!$B$8="industry_transition",IF(OR(E55="industry",E55="transition"),1,0),IF(E55='01_설정'!$B$8,1,0))))</x:f>
        <x:v>0</x:v>
      </x:c>
      <x:c r="L55" s="36" t="n">
        <x:f>IF(A55="",0,IF(AND(K55=1,F55&lt;='01_설정'!$B$6,G55&lt;='01_설정'!$B$7),1,0))</x:f>
        <x:v>0</x:v>
      </x:c>
      <x:c r="M55" s="36" t="n">
        <x:f>IF(A55="",0,_xlfn.MAXIFS('13_검토이력'!$P$6:$P$305,'13_검토이력'!$B$6:$B$305,A55,'13_검토이력'!$O$6:$O$305,1))</x:f>
        <x:v>0</x:v>
      </x:c>
      <x:c r="N55" s="36" t="n">
        <x:f>IF(A55="",9,IF(M55=0,9,SUMIFS('13_검토이력'!$N$6:$N$305,'13_검토이력'!$P$6:$P$305,M55)))</x:f>
        <x:v>9</x:v>
      </x:c>
      <x:c r="O55" s="36" t="str">
        <x:f>IF(A55="","",INDEX('17_코드북'!$B$6:$B$15,N55+1))</x:f>
      </x:c>
      <x:c r="P55" s="41" t="n">
        <x:f>IF(A55="",0,_xlfn.MAXIFS('13_검토이력'!$D$6:$D$305,'13_검토이력'!$B$6:$B$305,A55,'13_검토이력'!$O$6:$O$305,1,'13_검토이력'!$Q$6:$Q$305,1))</x:f>
        <x:v>0</x:v>
      </x:c>
      <x:c r="Q55" s="36" t="str">
        <x:f>IF(OR(L55=0,P55=0),"",'01_설정'!$B$6-P55)</x:f>
      </x:c>
      <x:c r="R55" s="36" t="n">
        <x:f>IF(OR(L55=0,M55=0),0,SUMIFS('13_검토이력'!$S$6:$S$305,'13_검토이력'!$P$6:$P$305,M55))</x:f>
        <x:v>0</x:v>
      </x:c>
      <x:c r="S55" s="36" t="n">
        <x:f>IF(AND(L55=1,N55&gt;=1,N55&lt;=4),1,0)</x:f>
        <x:v>0</x:v>
      </x:c>
      <x:c r="T55" s="36" t="n">
        <x:f>IF(AND(S55=1,Q55&gt;'01_설정'!$B$10),1,0)</x:f>
        <x:v>0</x:v>
      </x:c>
      <x:c r="U55" s="36" t="n">
        <x:f>IF(AND(L55=1,N55=5),1,0)</x:f>
        <x:v>0</x:v>
      </x:c>
      <x:c r="V55" s="36" t="str">
        <x:f>IF(AND(L55=1,N55&gt;=6,N55&lt;=8,P55&gt;0),P55-F55,"")</x:f>
      </x:c>
      <x:c r="W55" s="36" t="str">
        <x:f>IF(OR(A55="",M55=0),"",IFERROR(INDEX('13_검토이력'!$L$6:$L$305,MATCH(M55,'13_검토이력'!$P$6:$P$305,0)),""))</x:f>
      </x:c>
      <x:c r="X55" s="36" t="n">
        <x:f>IF(A55="",0,IF(COUNTIF('12_신청'!$A$6:$A$105,A55)&gt;1,1,0))</x:f>
        <x:v>0</x:v>
      </x:c>
    </x:row>
    <x:row r="56" ht="20" customHeight="1">
      <x:c r="A56" s="22"/>
      <x:c r="B56" s="22"/>
      <x:c r="C56" s="26"/>
      <x:c r="D56" s="22"/>
      <x:c r="E56" s="22"/>
      <x:c r="F56" s="28"/>
      <x:c r="G56" s="28"/>
      <x:c r="H56" s="22"/>
      <x:c r="I56" s="22"/>
      <x:c r="J56" s="22"/>
      <x:c r="K56" s="36" t="n">
        <x:f>IF(A56="",0,IF('01_설정'!$B$8="all",1,IF('01_설정'!$B$8="industry_transition",IF(OR(E56="industry",E56="transition"),1,0),IF(E56='01_설정'!$B$8,1,0))))</x:f>
        <x:v>0</x:v>
      </x:c>
      <x:c r="L56" s="36" t="n">
        <x:f>IF(A56="",0,IF(AND(K56=1,F56&lt;='01_설정'!$B$6,G56&lt;='01_설정'!$B$7),1,0))</x:f>
        <x:v>0</x:v>
      </x:c>
      <x:c r="M56" s="36" t="n">
        <x:f>IF(A56="",0,_xlfn.MAXIFS('13_검토이력'!$P$6:$P$305,'13_검토이력'!$B$6:$B$305,A56,'13_검토이력'!$O$6:$O$305,1))</x:f>
        <x:v>0</x:v>
      </x:c>
      <x:c r="N56" s="36" t="n">
        <x:f>IF(A56="",9,IF(M56=0,9,SUMIFS('13_검토이력'!$N$6:$N$305,'13_검토이력'!$P$6:$P$305,M56)))</x:f>
        <x:v>9</x:v>
      </x:c>
      <x:c r="O56" s="36" t="str">
        <x:f>IF(A56="","",INDEX('17_코드북'!$B$6:$B$15,N56+1))</x:f>
      </x:c>
      <x:c r="P56" s="41" t="n">
        <x:f>IF(A56="",0,_xlfn.MAXIFS('13_검토이력'!$D$6:$D$305,'13_검토이력'!$B$6:$B$305,A56,'13_검토이력'!$O$6:$O$305,1,'13_검토이력'!$Q$6:$Q$305,1))</x:f>
        <x:v>0</x:v>
      </x:c>
      <x:c r="Q56" s="36" t="str">
        <x:f>IF(OR(L56=0,P56=0),"",'01_설정'!$B$6-P56)</x:f>
      </x:c>
      <x:c r="R56" s="36" t="n">
        <x:f>IF(OR(L56=0,M56=0),0,SUMIFS('13_검토이력'!$S$6:$S$305,'13_검토이력'!$P$6:$P$305,M56))</x:f>
        <x:v>0</x:v>
      </x:c>
      <x:c r="S56" s="36" t="n">
        <x:f>IF(AND(L56=1,N56&gt;=1,N56&lt;=4),1,0)</x:f>
        <x:v>0</x:v>
      </x:c>
      <x:c r="T56" s="36" t="n">
        <x:f>IF(AND(S56=1,Q56&gt;'01_설정'!$B$10),1,0)</x:f>
        <x:v>0</x:v>
      </x:c>
      <x:c r="U56" s="36" t="n">
        <x:f>IF(AND(L56=1,N56=5),1,0)</x:f>
        <x:v>0</x:v>
      </x:c>
      <x:c r="V56" s="36" t="str">
        <x:f>IF(AND(L56=1,N56&gt;=6,N56&lt;=8,P56&gt;0),P56-F56,"")</x:f>
      </x:c>
      <x:c r="W56" s="36" t="str">
        <x:f>IF(OR(A56="",M56=0),"",IFERROR(INDEX('13_검토이력'!$L$6:$L$305,MATCH(M56,'13_검토이력'!$P$6:$P$305,0)),""))</x:f>
      </x:c>
      <x:c r="X56" s="36" t="n">
        <x:f>IF(A56="",0,IF(COUNTIF('12_신청'!$A$6:$A$105,A56)&gt;1,1,0))</x:f>
        <x:v>0</x:v>
      </x:c>
    </x:row>
    <x:row r="57" ht="20" customHeight="1">
      <x:c r="A57" s="22"/>
      <x:c r="B57" s="22"/>
      <x:c r="C57" s="26"/>
      <x:c r="D57" s="22"/>
      <x:c r="E57" s="22"/>
      <x:c r="F57" s="28"/>
      <x:c r="G57" s="28"/>
      <x:c r="H57" s="22"/>
      <x:c r="I57" s="22"/>
      <x:c r="J57" s="22"/>
      <x:c r="K57" s="36" t="n">
        <x:f>IF(A57="",0,IF('01_설정'!$B$8="all",1,IF('01_설정'!$B$8="industry_transition",IF(OR(E57="industry",E57="transition"),1,0),IF(E57='01_설정'!$B$8,1,0))))</x:f>
        <x:v>0</x:v>
      </x:c>
      <x:c r="L57" s="36" t="n">
        <x:f>IF(A57="",0,IF(AND(K57=1,F57&lt;='01_설정'!$B$6,G57&lt;='01_설정'!$B$7),1,0))</x:f>
        <x:v>0</x:v>
      </x:c>
      <x:c r="M57" s="36" t="n">
        <x:f>IF(A57="",0,_xlfn.MAXIFS('13_검토이력'!$P$6:$P$305,'13_검토이력'!$B$6:$B$305,A57,'13_검토이력'!$O$6:$O$305,1))</x:f>
        <x:v>0</x:v>
      </x:c>
      <x:c r="N57" s="36" t="n">
        <x:f>IF(A57="",9,IF(M57=0,9,SUMIFS('13_검토이력'!$N$6:$N$305,'13_검토이력'!$P$6:$P$305,M57)))</x:f>
        <x:v>9</x:v>
      </x:c>
      <x:c r="O57" s="36" t="str">
        <x:f>IF(A57="","",INDEX('17_코드북'!$B$6:$B$15,N57+1))</x:f>
      </x:c>
      <x:c r="P57" s="41" t="n">
        <x:f>IF(A57="",0,_xlfn.MAXIFS('13_검토이력'!$D$6:$D$305,'13_검토이력'!$B$6:$B$305,A57,'13_검토이력'!$O$6:$O$305,1,'13_검토이력'!$Q$6:$Q$305,1))</x:f>
        <x:v>0</x:v>
      </x:c>
      <x:c r="Q57" s="36" t="str">
        <x:f>IF(OR(L57=0,P57=0),"",'01_설정'!$B$6-P57)</x:f>
      </x:c>
      <x:c r="R57" s="36" t="n">
        <x:f>IF(OR(L57=0,M57=0),0,SUMIFS('13_검토이력'!$S$6:$S$305,'13_검토이력'!$P$6:$P$305,M57))</x:f>
        <x:v>0</x:v>
      </x:c>
      <x:c r="S57" s="36" t="n">
        <x:f>IF(AND(L57=1,N57&gt;=1,N57&lt;=4),1,0)</x:f>
        <x:v>0</x:v>
      </x:c>
      <x:c r="T57" s="36" t="n">
        <x:f>IF(AND(S57=1,Q57&gt;'01_설정'!$B$10),1,0)</x:f>
        <x:v>0</x:v>
      </x:c>
      <x:c r="U57" s="36" t="n">
        <x:f>IF(AND(L57=1,N57=5),1,0)</x:f>
        <x:v>0</x:v>
      </x:c>
      <x:c r="V57" s="36" t="str">
        <x:f>IF(AND(L57=1,N57&gt;=6,N57&lt;=8,P57&gt;0),P57-F57,"")</x:f>
      </x:c>
      <x:c r="W57" s="36" t="str">
        <x:f>IF(OR(A57="",M57=0),"",IFERROR(INDEX('13_검토이력'!$L$6:$L$305,MATCH(M57,'13_검토이력'!$P$6:$P$305,0)),""))</x:f>
      </x:c>
      <x:c r="X57" s="36" t="n">
        <x:f>IF(A57="",0,IF(COUNTIF('12_신청'!$A$6:$A$105,A57)&gt;1,1,0))</x:f>
        <x:v>0</x:v>
      </x:c>
    </x:row>
    <x:row r="58" ht="20" customHeight="1">
      <x:c r="A58" s="22"/>
      <x:c r="B58" s="22"/>
      <x:c r="C58" s="26"/>
      <x:c r="D58" s="22"/>
      <x:c r="E58" s="22"/>
      <x:c r="F58" s="28"/>
      <x:c r="G58" s="28"/>
      <x:c r="H58" s="22"/>
      <x:c r="I58" s="22"/>
      <x:c r="J58" s="22"/>
      <x:c r="K58" s="36" t="n">
        <x:f>IF(A58="",0,IF('01_설정'!$B$8="all",1,IF('01_설정'!$B$8="industry_transition",IF(OR(E58="industry",E58="transition"),1,0),IF(E58='01_설정'!$B$8,1,0))))</x:f>
        <x:v>0</x:v>
      </x:c>
      <x:c r="L58" s="36" t="n">
        <x:f>IF(A58="",0,IF(AND(K58=1,F58&lt;='01_설정'!$B$6,G58&lt;='01_설정'!$B$7),1,0))</x:f>
        <x:v>0</x:v>
      </x:c>
      <x:c r="M58" s="36" t="n">
        <x:f>IF(A58="",0,_xlfn.MAXIFS('13_검토이력'!$P$6:$P$305,'13_검토이력'!$B$6:$B$305,A58,'13_검토이력'!$O$6:$O$305,1))</x:f>
        <x:v>0</x:v>
      </x:c>
      <x:c r="N58" s="36" t="n">
        <x:f>IF(A58="",9,IF(M58=0,9,SUMIFS('13_검토이력'!$N$6:$N$305,'13_검토이력'!$P$6:$P$305,M58)))</x:f>
        <x:v>9</x:v>
      </x:c>
      <x:c r="O58" s="36" t="str">
        <x:f>IF(A58="","",INDEX('17_코드북'!$B$6:$B$15,N58+1))</x:f>
      </x:c>
      <x:c r="P58" s="41" t="n">
        <x:f>IF(A58="",0,_xlfn.MAXIFS('13_검토이력'!$D$6:$D$305,'13_검토이력'!$B$6:$B$305,A58,'13_검토이력'!$O$6:$O$305,1,'13_검토이력'!$Q$6:$Q$305,1))</x:f>
        <x:v>0</x:v>
      </x:c>
      <x:c r="Q58" s="36" t="str">
        <x:f>IF(OR(L58=0,P58=0),"",'01_설정'!$B$6-P58)</x:f>
      </x:c>
      <x:c r="R58" s="36" t="n">
        <x:f>IF(OR(L58=0,M58=0),0,SUMIFS('13_검토이력'!$S$6:$S$305,'13_검토이력'!$P$6:$P$305,M58))</x:f>
        <x:v>0</x:v>
      </x:c>
      <x:c r="S58" s="36" t="n">
        <x:f>IF(AND(L58=1,N58&gt;=1,N58&lt;=4),1,0)</x:f>
        <x:v>0</x:v>
      </x:c>
      <x:c r="T58" s="36" t="n">
        <x:f>IF(AND(S58=1,Q58&gt;'01_설정'!$B$10),1,0)</x:f>
        <x:v>0</x:v>
      </x:c>
      <x:c r="U58" s="36" t="n">
        <x:f>IF(AND(L58=1,N58=5),1,0)</x:f>
        <x:v>0</x:v>
      </x:c>
      <x:c r="V58" s="36" t="str">
        <x:f>IF(AND(L58=1,N58&gt;=6,N58&lt;=8,P58&gt;0),P58-F58,"")</x:f>
      </x:c>
      <x:c r="W58" s="36" t="str">
        <x:f>IF(OR(A58="",M58=0),"",IFERROR(INDEX('13_검토이력'!$L$6:$L$305,MATCH(M58,'13_검토이력'!$P$6:$P$305,0)),""))</x:f>
      </x:c>
      <x:c r="X58" s="36" t="n">
        <x:f>IF(A58="",0,IF(COUNTIF('12_신청'!$A$6:$A$105,A58)&gt;1,1,0))</x:f>
        <x:v>0</x:v>
      </x:c>
    </x:row>
    <x:row r="59" ht="20" customHeight="1">
      <x:c r="A59" s="22"/>
      <x:c r="B59" s="22"/>
      <x:c r="C59" s="26"/>
      <x:c r="D59" s="22"/>
      <x:c r="E59" s="22"/>
      <x:c r="F59" s="28"/>
      <x:c r="G59" s="28"/>
      <x:c r="H59" s="22"/>
      <x:c r="I59" s="22"/>
      <x:c r="J59" s="22"/>
      <x:c r="K59" s="36" t="n">
        <x:f>IF(A59="",0,IF('01_설정'!$B$8="all",1,IF('01_설정'!$B$8="industry_transition",IF(OR(E59="industry",E59="transition"),1,0),IF(E59='01_설정'!$B$8,1,0))))</x:f>
        <x:v>0</x:v>
      </x:c>
      <x:c r="L59" s="36" t="n">
        <x:f>IF(A59="",0,IF(AND(K59=1,F59&lt;='01_설정'!$B$6,G59&lt;='01_설정'!$B$7),1,0))</x:f>
        <x:v>0</x:v>
      </x:c>
      <x:c r="M59" s="36" t="n">
        <x:f>IF(A59="",0,_xlfn.MAXIFS('13_검토이력'!$P$6:$P$305,'13_검토이력'!$B$6:$B$305,A59,'13_검토이력'!$O$6:$O$305,1))</x:f>
        <x:v>0</x:v>
      </x:c>
      <x:c r="N59" s="36" t="n">
        <x:f>IF(A59="",9,IF(M59=0,9,SUMIFS('13_검토이력'!$N$6:$N$305,'13_검토이력'!$P$6:$P$305,M59)))</x:f>
        <x:v>9</x:v>
      </x:c>
      <x:c r="O59" s="36" t="str">
        <x:f>IF(A59="","",INDEX('17_코드북'!$B$6:$B$15,N59+1))</x:f>
      </x:c>
      <x:c r="P59" s="41" t="n">
        <x:f>IF(A59="",0,_xlfn.MAXIFS('13_검토이력'!$D$6:$D$305,'13_검토이력'!$B$6:$B$305,A59,'13_검토이력'!$O$6:$O$305,1,'13_검토이력'!$Q$6:$Q$305,1))</x:f>
        <x:v>0</x:v>
      </x:c>
      <x:c r="Q59" s="36" t="str">
        <x:f>IF(OR(L59=0,P59=0),"",'01_설정'!$B$6-P59)</x:f>
      </x:c>
      <x:c r="R59" s="36" t="n">
        <x:f>IF(OR(L59=0,M59=0),0,SUMIFS('13_검토이력'!$S$6:$S$305,'13_검토이력'!$P$6:$P$305,M59))</x:f>
        <x:v>0</x:v>
      </x:c>
      <x:c r="S59" s="36" t="n">
        <x:f>IF(AND(L59=1,N59&gt;=1,N59&lt;=4),1,0)</x:f>
        <x:v>0</x:v>
      </x:c>
      <x:c r="T59" s="36" t="n">
        <x:f>IF(AND(S59=1,Q59&gt;'01_설정'!$B$10),1,0)</x:f>
        <x:v>0</x:v>
      </x:c>
      <x:c r="U59" s="36" t="n">
        <x:f>IF(AND(L59=1,N59=5),1,0)</x:f>
        <x:v>0</x:v>
      </x:c>
      <x:c r="V59" s="36" t="str">
        <x:f>IF(AND(L59=1,N59&gt;=6,N59&lt;=8,P59&gt;0),P59-F59,"")</x:f>
      </x:c>
      <x:c r="W59" s="36" t="str">
        <x:f>IF(OR(A59="",M59=0),"",IFERROR(INDEX('13_검토이력'!$L$6:$L$305,MATCH(M59,'13_검토이력'!$P$6:$P$305,0)),""))</x:f>
      </x:c>
      <x:c r="X59" s="36" t="n">
        <x:f>IF(A59="",0,IF(COUNTIF('12_신청'!$A$6:$A$105,A59)&gt;1,1,0))</x:f>
        <x:v>0</x:v>
      </x:c>
    </x:row>
    <x:row r="60" ht="20" customHeight="1">
      <x:c r="A60" s="22"/>
      <x:c r="B60" s="22"/>
      <x:c r="C60" s="26"/>
      <x:c r="D60" s="22"/>
      <x:c r="E60" s="22"/>
      <x:c r="F60" s="28"/>
      <x:c r="G60" s="28"/>
      <x:c r="H60" s="22"/>
      <x:c r="I60" s="22"/>
      <x:c r="J60" s="22"/>
      <x:c r="K60" s="36" t="n">
        <x:f>IF(A60="",0,IF('01_설정'!$B$8="all",1,IF('01_설정'!$B$8="industry_transition",IF(OR(E60="industry",E60="transition"),1,0),IF(E60='01_설정'!$B$8,1,0))))</x:f>
        <x:v>0</x:v>
      </x:c>
      <x:c r="L60" s="36" t="n">
        <x:f>IF(A60="",0,IF(AND(K60=1,F60&lt;='01_설정'!$B$6,G60&lt;='01_설정'!$B$7),1,0))</x:f>
        <x:v>0</x:v>
      </x:c>
      <x:c r="M60" s="36" t="n">
        <x:f>IF(A60="",0,_xlfn.MAXIFS('13_검토이력'!$P$6:$P$305,'13_검토이력'!$B$6:$B$305,A60,'13_검토이력'!$O$6:$O$305,1))</x:f>
        <x:v>0</x:v>
      </x:c>
      <x:c r="N60" s="36" t="n">
        <x:f>IF(A60="",9,IF(M60=0,9,SUMIFS('13_검토이력'!$N$6:$N$305,'13_검토이력'!$P$6:$P$305,M60)))</x:f>
        <x:v>9</x:v>
      </x:c>
      <x:c r="O60" s="36" t="str">
        <x:f>IF(A60="","",INDEX('17_코드북'!$B$6:$B$15,N60+1))</x:f>
      </x:c>
      <x:c r="P60" s="41" t="n">
        <x:f>IF(A60="",0,_xlfn.MAXIFS('13_검토이력'!$D$6:$D$305,'13_검토이력'!$B$6:$B$305,A60,'13_검토이력'!$O$6:$O$305,1,'13_검토이력'!$Q$6:$Q$305,1))</x:f>
        <x:v>0</x:v>
      </x:c>
      <x:c r="Q60" s="36" t="str">
        <x:f>IF(OR(L60=0,P60=0),"",'01_설정'!$B$6-P60)</x:f>
      </x:c>
      <x:c r="R60" s="36" t="n">
        <x:f>IF(OR(L60=0,M60=0),0,SUMIFS('13_검토이력'!$S$6:$S$305,'13_검토이력'!$P$6:$P$305,M60))</x:f>
        <x:v>0</x:v>
      </x:c>
      <x:c r="S60" s="36" t="n">
        <x:f>IF(AND(L60=1,N60&gt;=1,N60&lt;=4),1,0)</x:f>
        <x:v>0</x:v>
      </x:c>
      <x:c r="T60" s="36" t="n">
        <x:f>IF(AND(S60=1,Q60&gt;'01_설정'!$B$10),1,0)</x:f>
        <x:v>0</x:v>
      </x:c>
      <x:c r="U60" s="36" t="n">
        <x:f>IF(AND(L60=1,N60=5),1,0)</x:f>
        <x:v>0</x:v>
      </x:c>
      <x:c r="V60" s="36" t="str">
        <x:f>IF(AND(L60=1,N60&gt;=6,N60&lt;=8,P60&gt;0),P60-F60,"")</x:f>
      </x:c>
      <x:c r="W60" s="36" t="str">
        <x:f>IF(OR(A60="",M60=0),"",IFERROR(INDEX('13_검토이력'!$L$6:$L$305,MATCH(M60,'13_검토이력'!$P$6:$P$305,0)),""))</x:f>
      </x:c>
      <x:c r="X60" s="36" t="n">
        <x:f>IF(A60="",0,IF(COUNTIF('12_신청'!$A$6:$A$105,A60)&gt;1,1,0))</x:f>
        <x:v>0</x:v>
      </x:c>
    </x:row>
    <x:row r="61" ht="20" customHeight="1">
      <x:c r="A61" s="22"/>
      <x:c r="B61" s="22"/>
      <x:c r="C61" s="26"/>
      <x:c r="D61" s="22"/>
      <x:c r="E61" s="22"/>
      <x:c r="F61" s="28"/>
      <x:c r="G61" s="28"/>
      <x:c r="H61" s="22"/>
      <x:c r="I61" s="22"/>
      <x:c r="J61" s="22"/>
      <x:c r="K61" s="36" t="n">
        <x:f>IF(A61="",0,IF('01_설정'!$B$8="all",1,IF('01_설정'!$B$8="industry_transition",IF(OR(E61="industry",E61="transition"),1,0),IF(E61='01_설정'!$B$8,1,0))))</x:f>
        <x:v>0</x:v>
      </x:c>
      <x:c r="L61" s="36" t="n">
        <x:f>IF(A61="",0,IF(AND(K61=1,F61&lt;='01_설정'!$B$6,G61&lt;='01_설정'!$B$7),1,0))</x:f>
        <x:v>0</x:v>
      </x:c>
      <x:c r="M61" s="36" t="n">
        <x:f>IF(A61="",0,_xlfn.MAXIFS('13_검토이력'!$P$6:$P$305,'13_검토이력'!$B$6:$B$305,A61,'13_검토이력'!$O$6:$O$305,1))</x:f>
        <x:v>0</x:v>
      </x:c>
      <x:c r="N61" s="36" t="n">
        <x:f>IF(A61="",9,IF(M61=0,9,SUMIFS('13_검토이력'!$N$6:$N$305,'13_검토이력'!$P$6:$P$305,M61)))</x:f>
        <x:v>9</x:v>
      </x:c>
      <x:c r="O61" s="36" t="str">
        <x:f>IF(A61="","",INDEX('17_코드북'!$B$6:$B$15,N61+1))</x:f>
      </x:c>
      <x:c r="P61" s="41" t="n">
        <x:f>IF(A61="",0,_xlfn.MAXIFS('13_검토이력'!$D$6:$D$305,'13_검토이력'!$B$6:$B$305,A61,'13_검토이력'!$O$6:$O$305,1,'13_검토이력'!$Q$6:$Q$305,1))</x:f>
        <x:v>0</x:v>
      </x:c>
      <x:c r="Q61" s="36" t="str">
        <x:f>IF(OR(L61=0,P61=0),"",'01_설정'!$B$6-P61)</x:f>
      </x:c>
      <x:c r="R61" s="36" t="n">
        <x:f>IF(OR(L61=0,M61=0),0,SUMIFS('13_검토이력'!$S$6:$S$305,'13_검토이력'!$P$6:$P$305,M61))</x:f>
        <x:v>0</x:v>
      </x:c>
      <x:c r="S61" s="36" t="n">
        <x:f>IF(AND(L61=1,N61&gt;=1,N61&lt;=4),1,0)</x:f>
        <x:v>0</x:v>
      </x:c>
      <x:c r="T61" s="36" t="n">
        <x:f>IF(AND(S61=1,Q61&gt;'01_설정'!$B$10),1,0)</x:f>
        <x:v>0</x:v>
      </x:c>
      <x:c r="U61" s="36" t="n">
        <x:f>IF(AND(L61=1,N61=5),1,0)</x:f>
        <x:v>0</x:v>
      </x:c>
      <x:c r="V61" s="36" t="str">
        <x:f>IF(AND(L61=1,N61&gt;=6,N61&lt;=8,P61&gt;0),P61-F61,"")</x:f>
      </x:c>
      <x:c r="W61" s="36" t="str">
        <x:f>IF(OR(A61="",M61=0),"",IFERROR(INDEX('13_검토이력'!$L$6:$L$305,MATCH(M61,'13_검토이력'!$P$6:$P$305,0)),""))</x:f>
      </x:c>
      <x:c r="X61" s="36" t="n">
        <x:f>IF(A61="",0,IF(COUNTIF('12_신청'!$A$6:$A$105,A61)&gt;1,1,0))</x:f>
        <x:v>0</x:v>
      </x:c>
    </x:row>
    <x:row r="62" ht="20" customHeight="1">
      <x:c r="A62" s="22"/>
      <x:c r="B62" s="22"/>
      <x:c r="C62" s="26"/>
      <x:c r="D62" s="22"/>
      <x:c r="E62" s="22"/>
      <x:c r="F62" s="28"/>
      <x:c r="G62" s="28"/>
      <x:c r="H62" s="22"/>
      <x:c r="I62" s="22"/>
      <x:c r="J62" s="22"/>
      <x:c r="K62" s="36" t="n">
        <x:f>IF(A62="",0,IF('01_설정'!$B$8="all",1,IF('01_설정'!$B$8="industry_transition",IF(OR(E62="industry",E62="transition"),1,0),IF(E62='01_설정'!$B$8,1,0))))</x:f>
        <x:v>0</x:v>
      </x:c>
      <x:c r="L62" s="36" t="n">
        <x:f>IF(A62="",0,IF(AND(K62=1,F62&lt;='01_설정'!$B$6,G62&lt;='01_설정'!$B$7),1,0))</x:f>
        <x:v>0</x:v>
      </x:c>
      <x:c r="M62" s="36" t="n">
        <x:f>IF(A62="",0,_xlfn.MAXIFS('13_검토이력'!$P$6:$P$305,'13_검토이력'!$B$6:$B$305,A62,'13_검토이력'!$O$6:$O$305,1))</x:f>
        <x:v>0</x:v>
      </x:c>
      <x:c r="N62" s="36" t="n">
        <x:f>IF(A62="",9,IF(M62=0,9,SUMIFS('13_검토이력'!$N$6:$N$305,'13_검토이력'!$P$6:$P$305,M62)))</x:f>
        <x:v>9</x:v>
      </x:c>
      <x:c r="O62" s="36" t="str">
        <x:f>IF(A62="","",INDEX('17_코드북'!$B$6:$B$15,N62+1))</x:f>
      </x:c>
      <x:c r="P62" s="41" t="n">
        <x:f>IF(A62="",0,_xlfn.MAXIFS('13_검토이력'!$D$6:$D$305,'13_검토이력'!$B$6:$B$305,A62,'13_검토이력'!$O$6:$O$305,1,'13_검토이력'!$Q$6:$Q$305,1))</x:f>
        <x:v>0</x:v>
      </x:c>
      <x:c r="Q62" s="36" t="str">
        <x:f>IF(OR(L62=0,P62=0),"",'01_설정'!$B$6-P62)</x:f>
      </x:c>
      <x:c r="R62" s="36" t="n">
        <x:f>IF(OR(L62=0,M62=0),0,SUMIFS('13_검토이력'!$S$6:$S$305,'13_검토이력'!$P$6:$P$305,M62))</x:f>
        <x:v>0</x:v>
      </x:c>
      <x:c r="S62" s="36" t="n">
        <x:f>IF(AND(L62=1,N62&gt;=1,N62&lt;=4),1,0)</x:f>
        <x:v>0</x:v>
      </x:c>
      <x:c r="T62" s="36" t="n">
        <x:f>IF(AND(S62=1,Q62&gt;'01_설정'!$B$10),1,0)</x:f>
        <x:v>0</x:v>
      </x:c>
      <x:c r="U62" s="36" t="n">
        <x:f>IF(AND(L62=1,N62=5),1,0)</x:f>
        <x:v>0</x:v>
      </x:c>
      <x:c r="V62" s="36" t="str">
        <x:f>IF(AND(L62=1,N62&gt;=6,N62&lt;=8,P62&gt;0),P62-F62,"")</x:f>
      </x:c>
      <x:c r="W62" s="36" t="str">
        <x:f>IF(OR(A62="",M62=0),"",IFERROR(INDEX('13_검토이력'!$L$6:$L$305,MATCH(M62,'13_검토이력'!$P$6:$P$305,0)),""))</x:f>
      </x:c>
      <x:c r="X62" s="36" t="n">
        <x:f>IF(A62="",0,IF(COUNTIF('12_신청'!$A$6:$A$105,A62)&gt;1,1,0))</x:f>
        <x:v>0</x:v>
      </x:c>
    </x:row>
    <x:row r="63" ht="20" customHeight="1">
      <x:c r="A63" s="22"/>
      <x:c r="B63" s="22"/>
      <x:c r="C63" s="26"/>
      <x:c r="D63" s="22"/>
      <x:c r="E63" s="22"/>
      <x:c r="F63" s="28"/>
      <x:c r="G63" s="28"/>
      <x:c r="H63" s="22"/>
      <x:c r="I63" s="22"/>
      <x:c r="J63" s="22"/>
      <x:c r="K63" s="36" t="n">
        <x:f>IF(A63="",0,IF('01_설정'!$B$8="all",1,IF('01_설정'!$B$8="industry_transition",IF(OR(E63="industry",E63="transition"),1,0),IF(E63='01_설정'!$B$8,1,0))))</x:f>
        <x:v>0</x:v>
      </x:c>
      <x:c r="L63" s="36" t="n">
        <x:f>IF(A63="",0,IF(AND(K63=1,F63&lt;='01_설정'!$B$6,G63&lt;='01_설정'!$B$7),1,0))</x:f>
        <x:v>0</x:v>
      </x:c>
      <x:c r="M63" s="36" t="n">
        <x:f>IF(A63="",0,_xlfn.MAXIFS('13_검토이력'!$P$6:$P$305,'13_검토이력'!$B$6:$B$305,A63,'13_검토이력'!$O$6:$O$305,1))</x:f>
        <x:v>0</x:v>
      </x:c>
      <x:c r="N63" s="36" t="n">
        <x:f>IF(A63="",9,IF(M63=0,9,SUMIFS('13_검토이력'!$N$6:$N$305,'13_검토이력'!$P$6:$P$305,M63)))</x:f>
        <x:v>9</x:v>
      </x:c>
      <x:c r="O63" s="36" t="str">
        <x:f>IF(A63="","",INDEX('17_코드북'!$B$6:$B$15,N63+1))</x:f>
      </x:c>
      <x:c r="P63" s="41" t="n">
        <x:f>IF(A63="",0,_xlfn.MAXIFS('13_검토이력'!$D$6:$D$305,'13_검토이력'!$B$6:$B$305,A63,'13_검토이력'!$O$6:$O$305,1,'13_검토이력'!$Q$6:$Q$305,1))</x:f>
        <x:v>0</x:v>
      </x:c>
      <x:c r="Q63" s="36" t="str">
        <x:f>IF(OR(L63=0,P63=0),"",'01_설정'!$B$6-P63)</x:f>
      </x:c>
      <x:c r="R63" s="36" t="n">
        <x:f>IF(OR(L63=0,M63=0),0,SUMIFS('13_검토이력'!$S$6:$S$305,'13_검토이력'!$P$6:$P$305,M63))</x:f>
        <x:v>0</x:v>
      </x:c>
      <x:c r="S63" s="36" t="n">
        <x:f>IF(AND(L63=1,N63&gt;=1,N63&lt;=4),1,0)</x:f>
        <x:v>0</x:v>
      </x:c>
      <x:c r="T63" s="36" t="n">
        <x:f>IF(AND(S63=1,Q63&gt;'01_설정'!$B$10),1,0)</x:f>
        <x:v>0</x:v>
      </x:c>
      <x:c r="U63" s="36" t="n">
        <x:f>IF(AND(L63=1,N63=5),1,0)</x:f>
        <x:v>0</x:v>
      </x:c>
      <x:c r="V63" s="36" t="str">
        <x:f>IF(AND(L63=1,N63&gt;=6,N63&lt;=8,P63&gt;0),P63-F63,"")</x:f>
      </x:c>
      <x:c r="W63" s="36" t="str">
        <x:f>IF(OR(A63="",M63=0),"",IFERROR(INDEX('13_검토이력'!$L$6:$L$305,MATCH(M63,'13_검토이력'!$P$6:$P$305,0)),""))</x:f>
      </x:c>
      <x:c r="X63" s="36" t="n">
        <x:f>IF(A63="",0,IF(COUNTIF('12_신청'!$A$6:$A$105,A63)&gt;1,1,0))</x:f>
        <x:v>0</x:v>
      </x:c>
    </x:row>
    <x:row r="64" ht="20" customHeight="1">
      <x:c r="A64" s="22"/>
      <x:c r="B64" s="22"/>
      <x:c r="C64" s="26"/>
      <x:c r="D64" s="22"/>
      <x:c r="E64" s="22"/>
      <x:c r="F64" s="28"/>
      <x:c r="G64" s="28"/>
      <x:c r="H64" s="22"/>
      <x:c r="I64" s="22"/>
      <x:c r="J64" s="22"/>
      <x:c r="K64" s="36" t="n">
        <x:f>IF(A64="",0,IF('01_설정'!$B$8="all",1,IF('01_설정'!$B$8="industry_transition",IF(OR(E64="industry",E64="transition"),1,0),IF(E64='01_설정'!$B$8,1,0))))</x:f>
        <x:v>0</x:v>
      </x:c>
      <x:c r="L64" s="36" t="n">
        <x:f>IF(A64="",0,IF(AND(K64=1,F64&lt;='01_설정'!$B$6,G64&lt;='01_설정'!$B$7),1,0))</x:f>
        <x:v>0</x:v>
      </x:c>
      <x:c r="M64" s="36" t="n">
        <x:f>IF(A64="",0,_xlfn.MAXIFS('13_검토이력'!$P$6:$P$305,'13_검토이력'!$B$6:$B$305,A64,'13_검토이력'!$O$6:$O$305,1))</x:f>
        <x:v>0</x:v>
      </x:c>
      <x:c r="N64" s="36" t="n">
        <x:f>IF(A64="",9,IF(M64=0,9,SUMIFS('13_검토이력'!$N$6:$N$305,'13_검토이력'!$P$6:$P$305,M64)))</x:f>
        <x:v>9</x:v>
      </x:c>
      <x:c r="O64" s="36" t="str">
        <x:f>IF(A64="","",INDEX('17_코드북'!$B$6:$B$15,N64+1))</x:f>
      </x:c>
      <x:c r="P64" s="41" t="n">
        <x:f>IF(A64="",0,_xlfn.MAXIFS('13_검토이력'!$D$6:$D$305,'13_검토이력'!$B$6:$B$305,A64,'13_검토이력'!$O$6:$O$305,1,'13_검토이력'!$Q$6:$Q$305,1))</x:f>
        <x:v>0</x:v>
      </x:c>
      <x:c r="Q64" s="36" t="str">
        <x:f>IF(OR(L64=0,P64=0),"",'01_설정'!$B$6-P64)</x:f>
      </x:c>
      <x:c r="R64" s="36" t="n">
        <x:f>IF(OR(L64=0,M64=0),0,SUMIFS('13_검토이력'!$S$6:$S$305,'13_검토이력'!$P$6:$P$305,M64))</x:f>
        <x:v>0</x:v>
      </x:c>
      <x:c r="S64" s="36" t="n">
        <x:f>IF(AND(L64=1,N64&gt;=1,N64&lt;=4),1,0)</x:f>
        <x:v>0</x:v>
      </x:c>
      <x:c r="T64" s="36" t="n">
        <x:f>IF(AND(S64=1,Q64&gt;'01_설정'!$B$10),1,0)</x:f>
        <x:v>0</x:v>
      </x:c>
      <x:c r="U64" s="36" t="n">
        <x:f>IF(AND(L64=1,N64=5),1,0)</x:f>
        <x:v>0</x:v>
      </x:c>
      <x:c r="V64" s="36" t="str">
        <x:f>IF(AND(L64=1,N64&gt;=6,N64&lt;=8,P64&gt;0),P64-F64,"")</x:f>
      </x:c>
      <x:c r="W64" s="36" t="str">
        <x:f>IF(OR(A64="",M64=0),"",IFERROR(INDEX('13_검토이력'!$L$6:$L$305,MATCH(M64,'13_검토이력'!$P$6:$P$305,0)),""))</x:f>
      </x:c>
      <x:c r="X64" s="36" t="n">
        <x:f>IF(A64="",0,IF(COUNTIF('12_신청'!$A$6:$A$105,A64)&gt;1,1,0))</x:f>
        <x:v>0</x:v>
      </x:c>
    </x:row>
    <x:row r="65" ht="20" customHeight="1">
      <x:c r="A65" s="22"/>
      <x:c r="B65" s="22"/>
      <x:c r="C65" s="26"/>
      <x:c r="D65" s="22"/>
      <x:c r="E65" s="22"/>
      <x:c r="F65" s="28"/>
      <x:c r="G65" s="28"/>
      <x:c r="H65" s="22"/>
      <x:c r="I65" s="22"/>
      <x:c r="J65" s="22"/>
      <x:c r="K65" s="36" t="n">
        <x:f>IF(A65="",0,IF('01_설정'!$B$8="all",1,IF('01_설정'!$B$8="industry_transition",IF(OR(E65="industry",E65="transition"),1,0),IF(E65='01_설정'!$B$8,1,0))))</x:f>
        <x:v>0</x:v>
      </x:c>
      <x:c r="L65" s="36" t="n">
        <x:f>IF(A65="",0,IF(AND(K65=1,F65&lt;='01_설정'!$B$6,G65&lt;='01_설정'!$B$7),1,0))</x:f>
        <x:v>0</x:v>
      </x:c>
      <x:c r="M65" s="36" t="n">
        <x:f>IF(A65="",0,_xlfn.MAXIFS('13_검토이력'!$P$6:$P$305,'13_검토이력'!$B$6:$B$305,A65,'13_검토이력'!$O$6:$O$305,1))</x:f>
        <x:v>0</x:v>
      </x:c>
      <x:c r="N65" s="36" t="n">
        <x:f>IF(A65="",9,IF(M65=0,9,SUMIFS('13_검토이력'!$N$6:$N$305,'13_검토이력'!$P$6:$P$305,M65)))</x:f>
        <x:v>9</x:v>
      </x:c>
      <x:c r="O65" s="36" t="str">
        <x:f>IF(A65="","",INDEX('17_코드북'!$B$6:$B$15,N65+1))</x:f>
      </x:c>
      <x:c r="P65" s="41" t="n">
        <x:f>IF(A65="",0,_xlfn.MAXIFS('13_검토이력'!$D$6:$D$305,'13_검토이력'!$B$6:$B$305,A65,'13_검토이력'!$O$6:$O$305,1,'13_검토이력'!$Q$6:$Q$305,1))</x:f>
        <x:v>0</x:v>
      </x:c>
      <x:c r="Q65" s="36" t="str">
        <x:f>IF(OR(L65=0,P65=0),"",'01_설정'!$B$6-P65)</x:f>
      </x:c>
      <x:c r="R65" s="36" t="n">
        <x:f>IF(OR(L65=0,M65=0),0,SUMIFS('13_검토이력'!$S$6:$S$305,'13_검토이력'!$P$6:$P$305,M65))</x:f>
        <x:v>0</x:v>
      </x:c>
      <x:c r="S65" s="36" t="n">
        <x:f>IF(AND(L65=1,N65&gt;=1,N65&lt;=4),1,0)</x:f>
        <x:v>0</x:v>
      </x:c>
      <x:c r="T65" s="36" t="n">
        <x:f>IF(AND(S65=1,Q65&gt;'01_설정'!$B$10),1,0)</x:f>
        <x:v>0</x:v>
      </x:c>
      <x:c r="U65" s="36" t="n">
        <x:f>IF(AND(L65=1,N65=5),1,0)</x:f>
        <x:v>0</x:v>
      </x:c>
      <x:c r="V65" s="36" t="str">
        <x:f>IF(AND(L65=1,N65&gt;=6,N65&lt;=8,P65&gt;0),P65-F65,"")</x:f>
      </x:c>
      <x:c r="W65" s="36" t="str">
        <x:f>IF(OR(A65="",M65=0),"",IFERROR(INDEX('13_검토이력'!$L$6:$L$305,MATCH(M65,'13_검토이력'!$P$6:$P$305,0)),""))</x:f>
      </x:c>
      <x:c r="X65" s="36" t="n">
        <x:f>IF(A65="",0,IF(COUNTIF('12_신청'!$A$6:$A$105,A65)&gt;1,1,0))</x:f>
        <x:v>0</x:v>
      </x:c>
    </x:row>
    <x:row r="66" ht="20" customHeight="1">
      <x:c r="A66" s="22"/>
      <x:c r="B66" s="22"/>
      <x:c r="C66" s="26"/>
      <x:c r="D66" s="22"/>
      <x:c r="E66" s="22"/>
      <x:c r="F66" s="28"/>
      <x:c r="G66" s="28"/>
      <x:c r="H66" s="22"/>
      <x:c r="I66" s="22"/>
      <x:c r="J66" s="22"/>
      <x:c r="K66" s="36" t="n">
        <x:f>IF(A66="",0,IF('01_설정'!$B$8="all",1,IF('01_설정'!$B$8="industry_transition",IF(OR(E66="industry",E66="transition"),1,0),IF(E66='01_설정'!$B$8,1,0))))</x:f>
        <x:v>0</x:v>
      </x:c>
      <x:c r="L66" s="36" t="n">
        <x:f>IF(A66="",0,IF(AND(K66=1,F66&lt;='01_설정'!$B$6,G66&lt;='01_설정'!$B$7),1,0))</x:f>
        <x:v>0</x:v>
      </x:c>
      <x:c r="M66" s="36" t="n">
        <x:f>IF(A66="",0,_xlfn.MAXIFS('13_검토이력'!$P$6:$P$305,'13_검토이력'!$B$6:$B$305,A66,'13_검토이력'!$O$6:$O$305,1))</x:f>
        <x:v>0</x:v>
      </x:c>
      <x:c r="N66" s="36" t="n">
        <x:f>IF(A66="",9,IF(M66=0,9,SUMIFS('13_검토이력'!$N$6:$N$305,'13_검토이력'!$P$6:$P$305,M66)))</x:f>
        <x:v>9</x:v>
      </x:c>
      <x:c r="O66" s="36" t="str">
        <x:f>IF(A66="","",INDEX('17_코드북'!$B$6:$B$15,N66+1))</x:f>
      </x:c>
      <x:c r="P66" s="41" t="n">
        <x:f>IF(A66="",0,_xlfn.MAXIFS('13_검토이력'!$D$6:$D$305,'13_검토이력'!$B$6:$B$305,A66,'13_검토이력'!$O$6:$O$305,1,'13_검토이력'!$Q$6:$Q$305,1))</x:f>
        <x:v>0</x:v>
      </x:c>
      <x:c r="Q66" s="36" t="str">
        <x:f>IF(OR(L66=0,P66=0),"",'01_설정'!$B$6-P66)</x:f>
      </x:c>
      <x:c r="R66" s="36" t="n">
        <x:f>IF(OR(L66=0,M66=0),0,SUMIFS('13_검토이력'!$S$6:$S$305,'13_검토이력'!$P$6:$P$305,M66))</x:f>
        <x:v>0</x:v>
      </x:c>
      <x:c r="S66" s="36" t="n">
        <x:f>IF(AND(L66=1,N66&gt;=1,N66&lt;=4),1,0)</x:f>
        <x:v>0</x:v>
      </x:c>
      <x:c r="T66" s="36" t="n">
        <x:f>IF(AND(S66=1,Q66&gt;'01_설정'!$B$10),1,0)</x:f>
        <x:v>0</x:v>
      </x:c>
      <x:c r="U66" s="36" t="n">
        <x:f>IF(AND(L66=1,N66=5),1,0)</x:f>
        <x:v>0</x:v>
      </x:c>
      <x:c r="V66" s="36" t="str">
        <x:f>IF(AND(L66=1,N66&gt;=6,N66&lt;=8,P66&gt;0),P66-F66,"")</x:f>
      </x:c>
      <x:c r="W66" s="36" t="str">
        <x:f>IF(OR(A66="",M66=0),"",IFERROR(INDEX('13_검토이력'!$L$6:$L$305,MATCH(M66,'13_검토이력'!$P$6:$P$305,0)),""))</x:f>
      </x:c>
      <x:c r="X66" s="36" t="n">
        <x:f>IF(A66="",0,IF(COUNTIF('12_신청'!$A$6:$A$105,A66)&gt;1,1,0))</x:f>
        <x:v>0</x:v>
      </x:c>
    </x:row>
    <x:row r="67" ht="20" customHeight="1">
      <x:c r="A67" s="22"/>
      <x:c r="B67" s="22"/>
      <x:c r="C67" s="26"/>
      <x:c r="D67" s="22"/>
      <x:c r="E67" s="22"/>
      <x:c r="F67" s="28"/>
      <x:c r="G67" s="28"/>
      <x:c r="H67" s="22"/>
      <x:c r="I67" s="22"/>
      <x:c r="J67" s="22"/>
      <x:c r="K67" s="36" t="n">
        <x:f>IF(A67="",0,IF('01_설정'!$B$8="all",1,IF('01_설정'!$B$8="industry_transition",IF(OR(E67="industry",E67="transition"),1,0),IF(E67='01_설정'!$B$8,1,0))))</x:f>
        <x:v>0</x:v>
      </x:c>
      <x:c r="L67" s="36" t="n">
        <x:f>IF(A67="",0,IF(AND(K67=1,F67&lt;='01_설정'!$B$6,G67&lt;='01_설정'!$B$7),1,0))</x:f>
        <x:v>0</x:v>
      </x:c>
      <x:c r="M67" s="36" t="n">
        <x:f>IF(A67="",0,_xlfn.MAXIFS('13_검토이력'!$P$6:$P$305,'13_검토이력'!$B$6:$B$305,A67,'13_검토이력'!$O$6:$O$305,1))</x:f>
        <x:v>0</x:v>
      </x:c>
      <x:c r="N67" s="36" t="n">
        <x:f>IF(A67="",9,IF(M67=0,9,SUMIFS('13_검토이력'!$N$6:$N$305,'13_검토이력'!$P$6:$P$305,M67)))</x:f>
        <x:v>9</x:v>
      </x:c>
      <x:c r="O67" s="36" t="str">
        <x:f>IF(A67="","",INDEX('17_코드북'!$B$6:$B$15,N67+1))</x:f>
      </x:c>
      <x:c r="P67" s="41" t="n">
        <x:f>IF(A67="",0,_xlfn.MAXIFS('13_검토이력'!$D$6:$D$305,'13_검토이력'!$B$6:$B$305,A67,'13_검토이력'!$O$6:$O$305,1,'13_검토이력'!$Q$6:$Q$305,1))</x:f>
        <x:v>0</x:v>
      </x:c>
      <x:c r="Q67" s="36" t="str">
        <x:f>IF(OR(L67=0,P67=0),"",'01_설정'!$B$6-P67)</x:f>
      </x:c>
      <x:c r="R67" s="36" t="n">
        <x:f>IF(OR(L67=0,M67=0),0,SUMIFS('13_검토이력'!$S$6:$S$305,'13_검토이력'!$P$6:$P$305,M67))</x:f>
        <x:v>0</x:v>
      </x:c>
      <x:c r="S67" s="36" t="n">
        <x:f>IF(AND(L67=1,N67&gt;=1,N67&lt;=4),1,0)</x:f>
        <x:v>0</x:v>
      </x:c>
      <x:c r="T67" s="36" t="n">
        <x:f>IF(AND(S67=1,Q67&gt;'01_설정'!$B$10),1,0)</x:f>
        <x:v>0</x:v>
      </x:c>
      <x:c r="U67" s="36" t="n">
        <x:f>IF(AND(L67=1,N67=5),1,0)</x:f>
        <x:v>0</x:v>
      </x:c>
      <x:c r="V67" s="36" t="str">
        <x:f>IF(AND(L67=1,N67&gt;=6,N67&lt;=8,P67&gt;0),P67-F67,"")</x:f>
      </x:c>
      <x:c r="W67" s="36" t="str">
        <x:f>IF(OR(A67="",M67=0),"",IFERROR(INDEX('13_검토이력'!$L$6:$L$305,MATCH(M67,'13_검토이력'!$P$6:$P$305,0)),""))</x:f>
      </x:c>
      <x:c r="X67" s="36" t="n">
        <x:f>IF(A67="",0,IF(COUNTIF('12_신청'!$A$6:$A$105,A67)&gt;1,1,0))</x:f>
        <x:v>0</x:v>
      </x:c>
    </x:row>
    <x:row r="68" ht="20" customHeight="1">
      <x:c r="A68" s="22"/>
      <x:c r="B68" s="22"/>
      <x:c r="C68" s="26"/>
      <x:c r="D68" s="22"/>
      <x:c r="E68" s="22"/>
      <x:c r="F68" s="28"/>
      <x:c r="G68" s="28"/>
      <x:c r="H68" s="22"/>
      <x:c r="I68" s="22"/>
      <x:c r="J68" s="22"/>
      <x:c r="K68" s="36" t="n">
        <x:f>IF(A68="",0,IF('01_설정'!$B$8="all",1,IF('01_설정'!$B$8="industry_transition",IF(OR(E68="industry",E68="transition"),1,0),IF(E68='01_설정'!$B$8,1,0))))</x:f>
        <x:v>0</x:v>
      </x:c>
      <x:c r="L68" s="36" t="n">
        <x:f>IF(A68="",0,IF(AND(K68=1,F68&lt;='01_설정'!$B$6,G68&lt;='01_설정'!$B$7),1,0))</x:f>
        <x:v>0</x:v>
      </x:c>
      <x:c r="M68" s="36" t="n">
        <x:f>IF(A68="",0,_xlfn.MAXIFS('13_검토이력'!$P$6:$P$305,'13_검토이력'!$B$6:$B$305,A68,'13_검토이력'!$O$6:$O$305,1))</x:f>
        <x:v>0</x:v>
      </x:c>
      <x:c r="N68" s="36" t="n">
        <x:f>IF(A68="",9,IF(M68=0,9,SUMIFS('13_검토이력'!$N$6:$N$305,'13_검토이력'!$P$6:$P$305,M68)))</x:f>
        <x:v>9</x:v>
      </x:c>
      <x:c r="O68" s="36" t="str">
        <x:f>IF(A68="","",INDEX('17_코드북'!$B$6:$B$15,N68+1))</x:f>
      </x:c>
      <x:c r="P68" s="41" t="n">
        <x:f>IF(A68="",0,_xlfn.MAXIFS('13_검토이력'!$D$6:$D$305,'13_검토이력'!$B$6:$B$305,A68,'13_검토이력'!$O$6:$O$305,1,'13_검토이력'!$Q$6:$Q$305,1))</x:f>
        <x:v>0</x:v>
      </x:c>
      <x:c r="Q68" s="36" t="str">
        <x:f>IF(OR(L68=0,P68=0),"",'01_설정'!$B$6-P68)</x:f>
      </x:c>
      <x:c r="R68" s="36" t="n">
        <x:f>IF(OR(L68=0,M68=0),0,SUMIFS('13_검토이력'!$S$6:$S$305,'13_검토이력'!$P$6:$P$305,M68))</x:f>
        <x:v>0</x:v>
      </x:c>
      <x:c r="S68" s="36" t="n">
        <x:f>IF(AND(L68=1,N68&gt;=1,N68&lt;=4),1,0)</x:f>
        <x:v>0</x:v>
      </x:c>
      <x:c r="T68" s="36" t="n">
        <x:f>IF(AND(S68=1,Q68&gt;'01_설정'!$B$10),1,0)</x:f>
        <x:v>0</x:v>
      </x:c>
      <x:c r="U68" s="36" t="n">
        <x:f>IF(AND(L68=1,N68=5),1,0)</x:f>
        <x:v>0</x:v>
      </x:c>
      <x:c r="V68" s="36" t="str">
        <x:f>IF(AND(L68=1,N68&gt;=6,N68&lt;=8,P68&gt;0),P68-F68,"")</x:f>
      </x:c>
      <x:c r="W68" s="36" t="str">
        <x:f>IF(OR(A68="",M68=0),"",IFERROR(INDEX('13_검토이력'!$L$6:$L$305,MATCH(M68,'13_검토이력'!$P$6:$P$305,0)),""))</x:f>
      </x:c>
      <x:c r="X68" s="36" t="n">
        <x:f>IF(A68="",0,IF(COUNTIF('12_신청'!$A$6:$A$105,A68)&gt;1,1,0))</x:f>
        <x:v>0</x:v>
      </x:c>
    </x:row>
    <x:row r="69" ht="20" customHeight="1">
      <x:c r="A69" s="22"/>
      <x:c r="B69" s="22"/>
      <x:c r="C69" s="26"/>
      <x:c r="D69" s="22"/>
      <x:c r="E69" s="22"/>
      <x:c r="F69" s="28"/>
      <x:c r="G69" s="28"/>
      <x:c r="H69" s="22"/>
      <x:c r="I69" s="22"/>
      <x:c r="J69" s="22"/>
      <x:c r="K69" s="36" t="n">
        <x:f>IF(A69="",0,IF('01_설정'!$B$8="all",1,IF('01_설정'!$B$8="industry_transition",IF(OR(E69="industry",E69="transition"),1,0),IF(E69='01_설정'!$B$8,1,0))))</x:f>
        <x:v>0</x:v>
      </x:c>
      <x:c r="L69" s="36" t="n">
        <x:f>IF(A69="",0,IF(AND(K69=1,F69&lt;='01_설정'!$B$6,G69&lt;='01_설정'!$B$7),1,0))</x:f>
        <x:v>0</x:v>
      </x:c>
      <x:c r="M69" s="36" t="n">
        <x:f>IF(A69="",0,_xlfn.MAXIFS('13_검토이력'!$P$6:$P$305,'13_검토이력'!$B$6:$B$305,A69,'13_검토이력'!$O$6:$O$305,1))</x:f>
        <x:v>0</x:v>
      </x:c>
      <x:c r="N69" s="36" t="n">
        <x:f>IF(A69="",9,IF(M69=0,9,SUMIFS('13_검토이력'!$N$6:$N$305,'13_검토이력'!$P$6:$P$305,M69)))</x:f>
        <x:v>9</x:v>
      </x:c>
      <x:c r="O69" s="36" t="str">
        <x:f>IF(A69="","",INDEX('17_코드북'!$B$6:$B$15,N69+1))</x:f>
      </x:c>
      <x:c r="P69" s="41" t="n">
        <x:f>IF(A69="",0,_xlfn.MAXIFS('13_검토이력'!$D$6:$D$305,'13_검토이력'!$B$6:$B$305,A69,'13_검토이력'!$O$6:$O$305,1,'13_검토이력'!$Q$6:$Q$305,1))</x:f>
        <x:v>0</x:v>
      </x:c>
      <x:c r="Q69" s="36" t="str">
        <x:f>IF(OR(L69=0,P69=0),"",'01_설정'!$B$6-P69)</x:f>
      </x:c>
      <x:c r="R69" s="36" t="n">
        <x:f>IF(OR(L69=0,M69=0),0,SUMIFS('13_검토이력'!$S$6:$S$305,'13_검토이력'!$P$6:$P$305,M69))</x:f>
        <x:v>0</x:v>
      </x:c>
      <x:c r="S69" s="36" t="n">
        <x:f>IF(AND(L69=1,N69&gt;=1,N69&lt;=4),1,0)</x:f>
        <x:v>0</x:v>
      </x:c>
      <x:c r="T69" s="36" t="n">
        <x:f>IF(AND(S69=1,Q69&gt;'01_설정'!$B$10),1,0)</x:f>
        <x:v>0</x:v>
      </x:c>
      <x:c r="U69" s="36" t="n">
        <x:f>IF(AND(L69=1,N69=5),1,0)</x:f>
        <x:v>0</x:v>
      </x:c>
      <x:c r="V69" s="36" t="str">
        <x:f>IF(AND(L69=1,N69&gt;=6,N69&lt;=8,P69&gt;0),P69-F69,"")</x:f>
      </x:c>
      <x:c r="W69" s="36" t="str">
        <x:f>IF(OR(A69="",M69=0),"",IFERROR(INDEX('13_검토이력'!$L$6:$L$305,MATCH(M69,'13_검토이력'!$P$6:$P$305,0)),""))</x:f>
      </x:c>
      <x:c r="X69" s="36" t="n">
        <x:f>IF(A69="",0,IF(COUNTIF('12_신청'!$A$6:$A$105,A69)&gt;1,1,0))</x:f>
        <x:v>0</x:v>
      </x:c>
    </x:row>
    <x:row r="70" ht="20" customHeight="1">
      <x:c r="A70" s="22"/>
      <x:c r="B70" s="22"/>
      <x:c r="C70" s="26"/>
      <x:c r="D70" s="22"/>
      <x:c r="E70" s="22"/>
      <x:c r="F70" s="28"/>
      <x:c r="G70" s="28"/>
      <x:c r="H70" s="22"/>
      <x:c r="I70" s="22"/>
      <x:c r="J70" s="22"/>
      <x:c r="K70" s="36" t="n">
        <x:f>IF(A70="",0,IF('01_설정'!$B$8="all",1,IF('01_설정'!$B$8="industry_transition",IF(OR(E70="industry",E70="transition"),1,0),IF(E70='01_설정'!$B$8,1,0))))</x:f>
        <x:v>0</x:v>
      </x:c>
      <x:c r="L70" s="36" t="n">
        <x:f>IF(A70="",0,IF(AND(K70=1,F70&lt;='01_설정'!$B$6,G70&lt;='01_설정'!$B$7),1,0))</x:f>
        <x:v>0</x:v>
      </x:c>
      <x:c r="M70" s="36" t="n">
        <x:f>IF(A70="",0,_xlfn.MAXIFS('13_검토이력'!$P$6:$P$305,'13_검토이력'!$B$6:$B$305,A70,'13_검토이력'!$O$6:$O$305,1))</x:f>
        <x:v>0</x:v>
      </x:c>
      <x:c r="N70" s="36" t="n">
        <x:f>IF(A70="",9,IF(M70=0,9,SUMIFS('13_검토이력'!$N$6:$N$305,'13_검토이력'!$P$6:$P$305,M70)))</x:f>
        <x:v>9</x:v>
      </x:c>
      <x:c r="O70" s="36" t="str">
        <x:f>IF(A70="","",INDEX('17_코드북'!$B$6:$B$15,N70+1))</x:f>
      </x:c>
      <x:c r="P70" s="41" t="n">
        <x:f>IF(A70="",0,_xlfn.MAXIFS('13_검토이력'!$D$6:$D$305,'13_검토이력'!$B$6:$B$305,A70,'13_검토이력'!$O$6:$O$305,1,'13_검토이력'!$Q$6:$Q$305,1))</x:f>
        <x:v>0</x:v>
      </x:c>
      <x:c r="Q70" s="36" t="str">
        <x:f>IF(OR(L70=0,P70=0),"",'01_설정'!$B$6-P70)</x:f>
      </x:c>
      <x:c r="R70" s="36" t="n">
        <x:f>IF(OR(L70=0,M70=0),0,SUMIFS('13_검토이력'!$S$6:$S$305,'13_검토이력'!$P$6:$P$305,M70))</x:f>
        <x:v>0</x:v>
      </x:c>
      <x:c r="S70" s="36" t="n">
        <x:f>IF(AND(L70=1,N70&gt;=1,N70&lt;=4),1,0)</x:f>
        <x:v>0</x:v>
      </x:c>
      <x:c r="T70" s="36" t="n">
        <x:f>IF(AND(S70=1,Q70&gt;'01_설정'!$B$10),1,0)</x:f>
        <x:v>0</x:v>
      </x:c>
      <x:c r="U70" s="36" t="n">
        <x:f>IF(AND(L70=1,N70=5),1,0)</x:f>
        <x:v>0</x:v>
      </x:c>
      <x:c r="V70" s="36" t="str">
        <x:f>IF(AND(L70=1,N70&gt;=6,N70&lt;=8,P70&gt;0),P70-F70,"")</x:f>
      </x:c>
      <x:c r="W70" s="36" t="str">
        <x:f>IF(OR(A70="",M70=0),"",IFERROR(INDEX('13_검토이력'!$L$6:$L$305,MATCH(M70,'13_검토이력'!$P$6:$P$305,0)),""))</x:f>
      </x:c>
      <x:c r="X70" s="36" t="n">
        <x:f>IF(A70="",0,IF(COUNTIF('12_신청'!$A$6:$A$105,A70)&gt;1,1,0))</x:f>
        <x:v>0</x:v>
      </x:c>
    </x:row>
    <x:row r="71" ht="20" customHeight="1">
      <x:c r="A71" s="22"/>
      <x:c r="B71" s="22"/>
      <x:c r="C71" s="26"/>
      <x:c r="D71" s="22"/>
      <x:c r="E71" s="22"/>
      <x:c r="F71" s="28"/>
      <x:c r="G71" s="28"/>
      <x:c r="H71" s="22"/>
      <x:c r="I71" s="22"/>
      <x:c r="J71" s="22"/>
      <x:c r="K71" s="36" t="n">
        <x:f>IF(A71="",0,IF('01_설정'!$B$8="all",1,IF('01_설정'!$B$8="industry_transition",IF(OR(E71="industry",E71="transition"),1,0),IF(E71='01_설정'!$B$8,1,0))))</x:f>
        <x:v>0</x:v>
      </x:c>
      <x:c r="L71" s="36" t="n">
        <x:f>IF(A71="",0,IF(AND(K71=1,F71&lt;='01_설정'!$B$6,G71&lt;='01_설정'!$B$7),1,0))</x:f>
        <x:v>0</x:v>
      </x:c>
      <x:c r="M71" s="36" t="n">
        <x:f>IF(A71="",0,_xlfn.MAXIFS('13_검토이력'!$P$6:$P$305,'13_검토이력'!$B$6:$B$305,A71,'13_검토이력'!$O$6:$O$305,1))</x:f>
        <x:v>0</x:v>
      </x:c>
      <x:c r="N71" s="36" t="n">
        <x:f>IF(A71="",9,IF(M71=0,9,SUMIFS('13_검토이력'!$N$6:$N$305,'13_검토이력'!$P$6:$P$305,M71)))</x:f>
        <x:v>9</x:v>
      </x:c>
      <x:c r="O71" s="36" t="str">
        <x:f>IF(A71="","",INDEX('17_코드북'!$B$6:$B$15,N71+1))</x:f>
      </x:c>
      <x:c r="P71" s="41" t="n">
        <x:f>IF(A71="",0,_xlfn.MAXIFS('13_검토이력'!$D$6:$D$305,'13_검토이력'!$B$6:$B$305,A71,'13_검토이력'!$O$6:$O$305,1,'13_검토이력'!$Q$6:$Q$305,1))</x:f>
        <x:v>0</x:v>
      </x:c>
      <x:c r="Q71" s="36" t="str">
        <x:f>IF(OR(L71=0,P71=0),"",'01_설정'!$B$6-P71)</x:f>
      </x:c>
      <x:c r="R71" s="36" t="n">
        <x:f>IF(OR(L71=0,M71=0),0,SUMIFS('13_검토이력'!$S$6:$S$305,'13_검토이력'!$P$6:$P$305,M71))</x:f>
        <x:v>0</x:v>
      </x:c>
      <x:c r="S71" s="36" t="n">
        <x:f>IF(AND(L71=1,N71&gt;=1,N71&lt;=4),1,0)</x:f>
        <x:v>0</x:v>
      </x:c>
      <x:c r="T71" s="36" t="n">
        <x:f>IF(AND(S71=1,Q71&gt;'01_설정'!$B$10),1,0)</x:f>
        <x:v>0</x:v>
      </x:c>
      <x:c r="U71" s="36" t="n">
        <x:f>IF(AND(L71=1,N71=5),1,0)</x:f>
        <x:v>0</x:v>
      </x:c>
      <x:c r="V71" s="36" t="str">
        <x:f>IF(AND(L71=1,N71&gt;=6,N71&lt;=8,P71&gt;0),P71-F71,"")</x:f>
      </x:c>
      <x:c r="W71" s="36" t="str">
        <x:f>IF(OR(A71="",M71=0),"",IFERROR(INDEX('13_검토이력'!$L$6:$L$305,MATCH(M71,'13_검토이력'!$P$6:$P$305,0)),""))</x:f>
      </x:c>
      <x:c r="X71" s="36" t="n">
        <x:f>IF(A71="",0,IF(COUNTIF('12_신청'!$A$6:$A$105,A71)&gt;1,1,0))</x:f>
        <x:v>0</x:v>
      </x:c>
    </x:row>
    <x:row r="72" ht="20" customHeight="1">
      <x:c r="A72" s="22"/>
      <x:c r="B72" s="22"/>
      <x:c r="C72" s="26"/>
      <x:c r="D72" s="22"/>
      <x:c r="E72" s="22"/>
      <x:c r="F72" s="28"/>
      <x:c r="G72" s="28"/>
      <x:c r="H72" s="22"/>
      <x:c r="I72" s="22"/>
      <x:c r="J72" s="22"/>
      <x:c r="K72" s="36" t="n">
        <x:f>IF(A72="",0,IF('01_설정'!$B$8="all",1,IF('01_설정'!$B$8="industry_transition",IF(OR(E72="industry",E72="transition"),1,0),IF(E72='01_설정'!$B$8,1,0))))</x:f>
        <x:v>0</x:v>
      </x:c>
      <x:c r="L72" s="36" t="n">
        <x:f>IF(A72="",0,IF(AND(K72=1,F72&lt;='01_설정'!$B$6,G72&lt;='01_설정'!$B$7),1,0))</x:f>
        <x:v>0</x:v>
      </x:c>
      <x:c r="M72" s="36" t="n">
        <x:f>IF(A72="",0,_xlfn.MAXIFS('13_검토이력'!$P$6:$P$305,'13_검토이력'!$B$6:$B$305,A72,'13_검토이력'!$O$6:$O$305,1))</x:f>
        <x:v>0</x:v>
      </x:c>
      <x:c r="N72" s="36" t="n">
        <x:f>IF(A72="",9,IF(M72=0,9,SUMIFS('13_검토이력'!$N$6:$N$305,'13_검토이력'!$P$6:$P$305,M72)))</x:f>
        <x:v>9</x:v>
      </x:c>
      <x:c r="O72" s="36" t="str">
        <x:f>IF(A72="","",INDEX('17_코드북'!$B$6:$B$15,N72+1))</x:f>
      </x:c>
      <x:c r="P72" s="41" t="n">
        <x:f>IF(A72="",0,_xlfn.MAXIFS('13_검토이력'!$D$6:$D$305,'13_검토이력'!$B$6:$B$305,A72,'13_검토이력'!$O$6:$O$305,1,'13_검토이력'!$Q$6:$Q$305,1))</x:f>
        <x:v>0</x:v>
      </x:c>
      <x:c r="Q72" s="36" t="str">
        <x:f>IF(OR(L72=0,P72=0),"",'01_설정'!$B$6-P72)</x:f>
      </x:c>
      <x:c r="R72" s="36" t="n">
        <x:f>IF(OR(L72=0,M72=0),0,SUMIFS('13_검토이력'!$S$6:$S$305,'13_검토이력'!$P$6:$P$305,M72))</x:f>
        <x:v>0</x:v>
      </x:c>
      <x:c r="S72" s="36" t="n">
        <x:f>IF(AND(L72=1,N72&gt;=1,N72&lt;=4),1,0)</x:f>
        <x:v>0</x:v>
      </x:c>
      <x:c r="T72" s="36" t="n">
        <x:f>IF(AND(S72=1,Q72&gt;'01_설정'!$B$10),1,0)</x:f>
        <x:v>0</x:v>
      </x:c>
      <x:c r="U72" s="36" t="n">
        <x:f>IF(AND(L72=1,N72=5),1,0)</x:f>
        <x:v>0</x:v>
      </x:c>
      <x:c r="V72" s="36" t="str">
        <x:f>IF(AND(L72=1,N72&gt;=6,N72&lt;=8,P72&gt;0),P72-F72,"")</x:f>
      </x:c>
      <x:c r="W72" s="36" t="str">
        <x:f>IF(OR(A72="",M72=0),"",IFERROR(INDEX('13_검토이력'!$L$6:$L$305,MATCH(M72,'13_검토이력'!$P$6:$P$305,0)),""))</x:f>
      </x:c>
      <x:c r="X72" s="36" t="n">
        <x:f>IF(A72="",0,IF(COUNTIF('12_신청'!$A$6:$A$105,A72)&gt;1,1,0))</x:f>
        <x:v>0</x:v>
      </x:c>
    </x:row>
    <x:row r="73" ht="20" customHeight="1">
      <x:c r="A73" s="22"/>
      <x:c r="B73" s="22"/>
      <x:c r="C73" s="26"/>
      <x:c r="D73" s="22"/>
      <x:c r="E73" s="22"/>
      <x:c r="F73" s="28"/>
      <x:c r="G73" s="28"/>
      <x:c r="H73" s="22"/>
      <x:c r="I73" s="22"/>
      <x:c r="J73" s="22"/>
      <x:c r="K73" s="36" t="n">
        <x:f>IF(A73="",0,IF('01_설정'!$B$8="all",1,IF('01_설정'!$B$8="industry_transition",IF(OR(E73="industry",E73="transition"),1,0),IF(E73='01_설정'!$B$8,1,0))))</x:f>
        <x:v>0</x:v>
      </x:c>
      <x:c r="L73" s="36" t="n">
        <x:f>IF(A73="",0,IF(AND(K73=1,F73&lt;='01_설정'!$B$6,G73&lt;='01_설정'!$B$7),1,0))</x:f>
        <x:v>0</x:v>
      </x:c>
      <x:c r="M73" s="36" t="n">
        <x:f>IF(A73="",0,_xlfn.MAXIFS('13_검토이력'!$P$6:$P$305,'13_검토이력'!$B$6:$B$305,A73,'13_검토이력'!$O$6:$O$305,1))</x:f>
        <x:v>0</x:v>
      </x:c>
      <x:c r="N73" s="36" t="n">
        <x:f>IF(A73="",9,IF(M73=0,9,SUMIFS('13_검토이력'!$N$6:$N$305,'13_검토이력'!$P$6:$P$305,M73)))</x:f>
        <x:v>9</x:v>
      </x:c>
      <x:c r="O73" s="36" t="str">
        <x:f>IF(A73="","",INDEX('17_코드북'!$B$6:$B$15,N73+1))</x:f>
      </x:c>
      <x:c r="P73" s="41" t="n">
        <x:f>IF(A73="",0,_xlfn.MAXIFS('13_검토이력'!$D$6:$D$305,'13_검토이력'!$B$6:$B$305,A73,'13_검토이력'!$O$6:$O$305,1,'13_검토이력'!$Q$6:$Q$305,1))</x:f>
        <x:v>0</x:v>
      </x:c>
      <x:c r="Q73" s="36" t="str">
        <x:f>IF(OR(L73=0,P73=0),"",'01_설정'!$B$6-P73)</x:f>
      </x:c>
      <x:c r="R73" s="36" t="n">
        <x:f>IF(OR(L73=0,M73=0),0,SUMIFS('13_검토이력'!$S$6:$S$305,'13_검토이력'!$P$6:$P$305,M73))</x:f>
        <x:v>0</x:v>
      </x:c>
      <x:c r="S73" s="36" t="n">
        <x:f>IF(AND(L73=1,N73&gt;=1,N73&lt;=4),1,0)</x:f>
        <x:v>0</x:v>
      </x:c>
      <x:c r="T73" s="36" t="n">
        <x:f>IF(AND(S73=1,Q73&gt;'01_설정'!$B$10),1,0)</x:f>
        <x:v>0</x:v>
      </x:c>
      <x:c r="U73" s="36" t="n">
        <x:f>IF(AND(L73=1,N73=5),1,0)</x:f>
        <x:v>0</x:v>
      </x:c>
      <x:c r="V73" s="36" t="str">
        <x:f>IF(AND(L73=1,N73&gt;=6,N73&lt;=8,P73&gt;0),P73-F73,"")</x:f>
      </x:c>
      <x:c r="W73" s="36" t="str">
        <x:f>IF(OR(A73="",M73=0),"",IFERROR(INDEX('13_검토이력'!$L$6:$L$305,MATCH(M73,'13_검토이력'!$P$6:$P$305,0)),""))</x:f>
      </x:c>
      <x:c r="X73" s="36" t="n">
        <x:f>IF(A73="",0,IF(COUNTIF('12_신청'!$A$6:$A$105,A73)&gt;1,1,0))</x:f>
        <x:v>0</x:v>
      </x:c>
    </x:row>
    <x:row r="74" ht="20" customHeight="1">
      <x:c r="A74" s="22"/>
      <x:c r="B74" s="22"/>
      <x:c r="C74" s="26"/>
      <x:c r="D74" s="22"/>
      <x:c r="E74" s="22"/>
      <x:c r="F74" s="28"/>
      <x:c r="G74" s="28"/>
      <x:c r="H74" s="22"/>
      <x:c r="I74" s="22"/>
      <x:c r="J74" s="22"/>
      <x:c r="K74" s="36" t="n">
        <x:f>IF(A74="",0,IF('01_설정'!$B$8="all",1,IF('01_설정'!$B$8="industry_transition",IF(OR(E74="industry",E74="transition"),1,0),IF(E74='01_설정'!$B$8,1,0))))</x:f>
        <x:v>0</x:v>
      </x:c>
      <x:c r="L74" s="36" t="n">
        <x:f>IF(A74="",0,IF(AND(K74=1,F74&lt;='01_설정'!$B$6,G74&lt;='01_설정'!$B$7),1,0))</x:f>
        <x:v>0</x:v>
      </x:c>
      <x:c r="M74" s="36" t="n">
        <x:f>IF(A74="",0,_xlfn.MAXIFS('13_검토이력'!$P$6:$P$305,'13_검토이력'!$B$6:$B$305,A74,'13_검토이력'!$O$6:$O$305,1))</x:f>
        <x:v>0</x:v>
      </x:c>
      <x:c r="N74" s="36" t="n">
        <x:f>IF(A74="",9,IF(M74=0,9,SUMIFS('13_검토이력'!$N$6:$N$305,'13_검토이력'!$P$6:$P$305,M74)))</x:f>
        <x:v>9</x:v>
      </x:c>
      <x:c r="O74" s="36" t="str">
        <x:f>IF(A74="","",INDEX('17_코드북'!$B$6:$B$15,N74+1))</x:f>
      </x:c>
      <x:c r="P74" s="41" t="n">
        <x:f>IF(A74="",0,_xlfn.MAXIFS('13_검토이력'!$D$6:$D$305,'13_검토이력'!$B$6:$B$305,A74,'13_검토이력'!$O$6:$O$305,1,'13_검토이력'!$Q$6:$Q$305,1))</x:f>
        <x:v>0</x:v>
      </x:c>
      <x:c r="Q74" s="36" t="str">
        <x:f>IF(OR(L74=0,P74=0),"",'01_설정'!$B$6-P74)</x:f>
      </x:c>
      <x:c r="R74" s="36" t="n">
        <x:f>IF(OR(L74=0,M74=0),0,SUMIFS('13_검토이력'!$S$6:$S$305,'13_검토이력'!$P$6:$P$305,M74))</x:f>
        <x:v>0</x:v>
      </x:c>
      <x:c r="S74" s="36" t="n">
        <x:f>IF(AND(L74=1,N74&gt;=1,N74&lt;=4),1,0)</x:f>
        <x:v>0</x:v>
      </x:c>
      <x:c r="T74" s="36" t="n">
        <x:f>IF(AND(S74=1,Q74&gt;'01_설정'!$B$10),1,0)</x:f>
        <x:v>0</x:v>
      </x:c>
      <x:c r="U74" s="36" t="n">
        <x:f>IF(AND(L74=1,N74=5),1,0)</x:f>
        <x:v>0</x:v>
      </x:c>
      <x:c r="V74" s="36" t="str">
        <x:f>IF(AND(L74=1,N74&gt;=6,N74&lt;=8,P74&gt;0),P74-F74,"")</x:f>
      </x:c>
      <x:c r="W74" s="36" t="str">
        <x:f>IF(OR(A74="",M74=0),"",IFERROR(INDEX('13_검토이력'!$L$6:$L$305,MATCH(M74,'13_검토이력'!$P$6:$P$305,0)),""))</x:f>
      </x:c>
      <x:c r="X74" s="36" t="n">
        <x:f>IF(A74="",0,IF(COUNTIF('12_신청'!$A$6:$A$105,A74)&gt;1,1,0))</x:f>
        <x:v>0</x:v>
      </x:c>
    </x:row>
    <x:row r="75" ht="20" customHeight="1">
      <x:c r="A75" s="22"/>
      <x:c r="B75" s="22"/>
      <x:c r="C75" s="26"/>
      <x:c r="D75" s="22"/>
      <x:c r="E75" s="22"/>
      <x:c r="F75" s="28"/>
      <x:c r="G75" s="28"/>
      <x:c r="H75" s="22"/>
      <x:c r="I75" s="22"/>
      <x:c r="J75" s="22"/>
      <x:c r="K75" s="36" t="n">
        <x:f>IF(A75="",0,IF('01_설정'!$B$8="all",1,IF('01_설정'!$B$8="industry_transition",IF(OR(E75="industry",E75="transition"),1,0),IF(E75='01_설정'!$B$8,1,0))))</x:f>
        <x:v>0</x:v>
      </x:c>
      <x:c r="L75" s="36" t="n">
        <x:f>IF(A75="",0,IF(AND(K75=1,F75&lt;='01_설정'!$B$6,G75&lt;='01_설정'!$B$7),1,0))</x:f>
        <x:v>0</x:v>
      </x:c>
      <x:c r="M75" s="36" t="n">
        <x:f>IF(A75="",0,_xlfn.MAXIFS('13_검토이력'!$P$6:$P$305,'13_검토이력'!$B$6:$B$305,A75,'13_검토이력'!$O$6:$O$305,1))</x:f>
        <x:v>0</x:v>
      </x:c>
      <x:c r="N75" s="36" t="n">
        <x:f>IF(A75="",9,IF(M75=0,9,SUMIFS('13_검토이력'!$N$6:$N$305,'13_검토이력'!$P$6:$P$305,M75)))</x:f>
        <x:v>9</x:v>
      </x:c>
      <x:c r="O75" s="36" t="str">
        <x:f>IF(A75="","",INDEX('17_코드북'!$B$6:$B$15,N75+1))</x:f>
      </x:c>
      <x:c r="P75" s="41" t="n">
        <x:f>IF(A75="",0,_xlfn.MAXIFS('13_검토이력'!$D$6:$D$305,'13_검토이력'!$B$6:$B$305,A75,'13_검토이력'!$O$6:$O$305,1,'13_검토이력'!$Q$6:$Q$305,1))</x:f>
        <x:v>0</x:v>
      </x:c>
      <x:c r="Q75" s="36" t="str">
        <x:f>IF(OR(L75=0,P75=0),"",'01_설정'!$B$6-P75)</x:f>
      </x:c>
      <x:c r="R75" s="36" t="n">
        <x:f>IF(OR(L75=0,M75=0),0,SUMIFS('13_검토이력'!$S$6:$S$305,'13_검토이력'!$P$6:$P$305,M75))</x:f>
        <x:v>0</x:v>
      </x:c>
      <x:c r="S75" s="36" t="n">
        <x:f>IF(AND(L75=1,N75&gt;=1,N75&lt;=4),1,0)</x:f>
        <x:v>0</x:v>
      </x:c>
      <x:c r="T75" s="36" t="n">
        <x:f>IF(AND(S75=1,Q75&gt;'01_설정'!$B$10),1,0)</x:f>
        <x:v>0</x:v>
      </x:c>
      <x:c r="U75" s="36" t="n">
        <x:f>IF(AND(L75=1,N75=5),1,0)</x:f>
        <x:v>0</x:v>
      </x:c>
      <x:c r="V75" s="36" t="str">
        <x:f>IF(AND(L75=1,N75&gt;=6,N75&lt;=8,P75&gt;0),P75-F75,"")</x:f>
      </x:c>
      <x:c r="W75" s="36" t="str">
        <x:f>IF(OR(A75="",M75=0),"",IFERROR(INDEX('13_검토이력'!$L$6:$L$305,MATCH(M75,'13_검토이력'!$P$6:$P$305,0)),""))</x:f>
      </x:c>
      <x:c r="X75" s="36" t="n">
        <x:f>IF(A75="",0,IF(COUNTIF('12_신청'!$A$6:$A$105,A75)&gt;1,1,0))</x:f>
        <x:v>0</x:v>
      </x:c>
    </x:row>
    <x:row r="76" ht="20" customHeight="1">
      <x:c r="A76" s="22"/>
      <x:c r="B76" s="22"/>
      <x:c r="C76" s="26"/>
      <x:c r="D76" s="22"/>
      <x:c r="E76" s="22"/>
      <x:c r="F76" s="28"/>
      <x:c r="G76" s="28"/>
      <x:c r="H76" s="22"/>
      <x:c r="I76" s="22"/>
      <x:c r="J76" s="22"/>
      <x:c r="K76" s="36" t="n">
        <x:f>IF(A76="",0,IF('01_설정'!$B$8="all",1,IF('01_설정'!$B$8="industry_transition",IF(OR(E76="industry",E76="transition"),1,0),IF(E76='01_설정'!$B$8,1,0))))</x:f>
        <x:v>0</x:v>
      </x:c>
      <x:c r="L76" s="36" t="n">
        <x:f>IF(A76="",0,IF(AND(K76=1,F76&lt;='01_설정'!$B$6,G76&lt;='01_설정'!$B$7),1,0))</x:f>
        <x:v>0</x:v>
      </x:c>
      <x:c r="M76" s="36" t="n">
        <x:f>IF(A76="",0,_xlfn.MAXIFS('13_검토이력'!$P$6:$P$305,'13_검토이력'!$B$6:$B$305,A76,'13_검토이력'!$O$6:$O$305,1))</x:f>
        <x:v>0</x:v>
      </x:c>
      <x:c r="N76" s="36" t="n">
        <x:f>IF(A76="",9,IF(M76=0,9,SUMIFS('13_검토이력'!$N$6:$N$305,'13_검토이력'!$P$6:$P$305,M76)))</x:f>
        <x:v>9</x:v>
      </x:c>
      <x:c r="O76" s="36" t="str">
        <x:f>IF(A76="","",INDEX('17_코드북'!$B$6:$B$15,N76+1))</x:f>
      </x:c>
      <x:c r="P76" s="41" t="n">
        <x:f>IF(A76="",0,_xlfn.MAXIFS('13_검토이력'!$D$6:$D$305,'13_검토이력'!$B$6:$B$305,A76,'13_검토이력'!$O$6:$O$305,1,'13_검토이력'!$Q$6:$Q$305,1))</x:f>
        <x:v>0</x:v>
      </x:c>
      <x:c r="Q76" s="36" t="str">
        <x:f>IF(OR(L76=0,P76=0),"",'01_설정'!$B$6-P76)</x:f>
      </x:c>
      <x:c r="R76" s="36" t="n">
        <x:f>IF(OR(L76=0,M76=0),0,SUMIFS('13_검토이력'!$S$6:$S$305,'13_검토이력'!$P$6:$P$305,M76))</x:f>
        <x:v>0</x:v>
      </x:c>
      <x:c r="S76" s="36" t="n">
        <x:f>IF(AND(L76=1,N76&gt;=1,N76&lt;=4),1,0)</x:f>
        <x:v>0</x:v>
      </x:c>
      <x:c r="T76" s="36" t="n">
        <x:f>IF(AND(S76=1,Q76&gt;'01_설정'!$B$10),1,0)</x:f>
        <x:v>0</x:v>
      </x:c>
      <x:c r="U76" s="36" t="n">
        <x:f>IF(AND(L76=1,N76=5),1,0)</x:f>
        <x:v>0</x:v>
      </x:c>
      <x:c r="V76" s="36" t="str">
        <x:f>IF(AND(L76=1,N76&gt;=6,N76&lt;=8,P76&gt;0),P76-F76,"")</x:f>
      </x:c>
      <x:c r="W76" s="36" t="str">
        <x:f>IF(OR(A76="",M76=0),"",IFERROR(INDEX('13_검토이력'!$L$6:$L$305,MATCH(M76,'13_검토이력'!$P$6:$P$305,0)),""))</x:f>
      </x:c>
      <x:c r="X76" s="36" t="n">
        <x:f>IF(A76="",0,IF(COUNTIF('12_신청'!$A$6:$A$105,A76)&gt;1,1,0))</x:f>
        <x:v>0</x:v>
      </x:c>
    </x:row>
    <x:row r="77" ht="20" customHeight="1">
      <x:c r="A77" s="22"/>
      <x:c r="B77" s="22"/>
      <x:c r="C77" s="26"/>
      <x:c r="D77" s="22"/>
      <x:c r="E77" s="22"/>
      <x:c r="F77" s="28"/>
      <x:c r="G77" s="28"/>
      <x:c r="H77" s="22"/>
      <x:c r="I77" s="22"/>
      <x:c r="J77" s="22"/>
      <x:c r="K77" s="36" t="n">
        <x:f>IF(A77="",0,IF('01_설정'!$B$8="all",1,IF('01_설정'!$B$8="industry_transition",IF(OR(E77="industry",E77="transition"),1,0),IF(E77='01_설정'!$B$8,1,0))))</x:f>
        <x:v>0</x:v>
      </x:c>
      <x:c r="L77" s="36" t="n">
        <x:f>IF(A77="",0,IF(AND(K77=1,F77&lt;='01_설정'!$B$6,G77&lt;='01_설정'!$B$7),1,0))</x:f>
        <x:v>0</x:v>
      </x:c>
      <x:c r="M77" s="36" t="n">
        <x:f>IF(A77="",0,_xlfn.MAXIFS('13_검토이력'!$P$6:$P$305,'13_검토이력'!$B$6:$B$305,A77,'13_검토이력'!$O$6:$O$305,1))</x:f>
        <x:v>0</x:v>
      </x:c>
      <x:c r="N77" s="36" t="n">
        <x:f>IF(A77="",9,IF(M77=0,9,SUMIFS('13_검토이력'!$N$6:$N$305,'13_검토이력'!$P$6:$P$305,M77)))</x:f>
        <x:v>9</x:v>
      </x:c>
      <x:c r="O77" s="36" t="str">
        <x:f>IF(A77="","",INDEX('17_코드북'!$B$6:$B$15,N77+1))</x:f>
      </x:c>
      <x:c r="P77" s="41" t="n">
        <x:f>IF(A77="",0,_xlfn.MAXIFS('13_검토이력'!$D$6:$D$305,'13_검토이력'!$B$6:$B$305,A77,'13_검토이력'!$O$6:$O$305,1,'13_검토이력'!$Q$6:$Q$305,1))</x:f>
        <x:v>0</x:v>
      </x:c>
      <x:c r="Q77" s="36" t="str">
        <x:f>IF(OR(L77=0,P77=0),"",'01_설정'!$B$6-P77)</x:f>
      </x:c>
      <x:c r="R77" s="36" t="n">
        <x:f>IF(OR(L77=0,M77=0),0,SUMIFS('13_검토이력'!$S$6:$S$305,'13_검토이력'!$P$6:$P$305,M77))</x:f>
        <x:v>0</x:v>
      </x:c>
      <x:c r="S77" s="36" t="n">
        <x:f>IF(AND(L77=1,N77&gt;=1,N77&lt;=4),1,0)</x:f>
        <x:v>0</x:v>
      </x:c>
      <x:c r="T77" s="36" t="n">
        <x:f>IF(AND(S77=1,Q77&gt;'01_설정'!$B$10),1,0)</x:f>
        <x:v>0</x:v>
      </x:c>
      <x:c r="U77" s="36" t="n">
        <x:f>IF(AND(L77=1,N77=5),1,0)</x:f>
        <x:v>0</x:v>
      </x:c>
      <x:c r="V77" s="36" t="str">
        <x:f>IF(AND(L77=1,N77&gt;=6,N77&lt;=8,P77&gt;0),P77-F77,"")</x:f>
      </x:c>
      <x:c r="W77" s="36" t="str">
        <x:f>IF(OR(A77="",M77=0),"",IFERROR(INDEX('13_검토이력'!$L$6:$L$305,MATCH(M77,'13_검토이력'!$P$6:$P$305,0)),""))</x:f>
      </x:c>
      <x:c r="X77" s="36" t="n">
        <x:f>IF(A77="",0,IF(COUNTIF('12_신청'!$A$6:$A$105,A77)&gt;1,1,0))</x:f>
        <x:v>0</x:v>
      </x:c>
    </x:row>
    <x:row r="78" ht="20" customHeight="1">
      <x:c r="A78" s="22"/>
      <x:c r="B78" s="22"/>
      <x:c r="C78" s="26"/>
      <x:c r="D78" s="22"/>
      <x:c r="E78" s="22"/>
      <x:c r="F78" s="28"/>
      <x:c r="G78" s="28"/>
      <x:c r="H78" s="22"/>
      <x:c r="I78" s="22"/>
      <x:c r="J78" s="22"/>
      <x:c r="K78" s="36" t="n">
        <x:f>IF(A78="",0,IF('01_설정'!$B$8="all",1,IF('01_설정'!$B$8="industry_transition",IF(OR(E78="industry",E78="transition"),1,0),IF(E78='01_설정'!$B$8,1,0))))</x:f>
        <x:v>0</x:v>
      </x:c>
      <x:c r="L78" s="36" t="n">
        <x:f>IF(A78="",0,IF(AND(K78=1,F78&lt;='01_설정'!$B$6,G78&lt;='01_설정'!$B$7),1,0))</x:f>
        <x:v>0</x:v>
      </x:c>
      <x:c r="M78" s="36" t="n">
        <x:f>IF(A78="",0,_xlfn.MAXIFS('13_검토이력'!$P$6:$P$305,'13_검토이력'!$B$6:$B$305,A78,'13_검토이력'!$O$6:$O$305,1))</x:f>
        <x:v>0</x:v>
      </x:c>
      <x:c r="N78" s="36" t="n">
        <x:f>IF(A78="",9,IF(M78=0,9,SUMIFS('13_검토이력'!$N$6:$N$305,'13_검토이력'!$P$6:$P$305,M78)))</x:f>
        <x:v>9</x:v>
      </x:c>
      <x:c r="O78" s="36" t="str">
        <x:f>IF(A78="","",INDEX('17_코드북'!$B$6:$B$15,N78+1))</x:f>
      </x:c>
      <x:c r="P78" s="41" t="n">
        <x:f>IF(A78="",0,_xlfn.MAXIFS('13_검토이력'!$D$6:$D$305,'13_검토이력'!$B$6:$B$305,A78,'13_검토이력'!$O$6:$O$305,1,'13_검토이력'!$Q$6:$Q$305,1))</x:f>
        <x:v>0</x:v>
      </x:c>
      <x:c r="Q78" s="36" t="str">
        <x:f>IF(OR(L78=0,P78=0),"",'01_설정'!$B$6-P78)</x:f>
      </x:c>
      <x:c r="R78" s="36" t="n">
        <x:f>IF(OR(L78=0,M78=0),0,SUMIFS('13_검토이력'!$S$6:$S$305,'13_검토이력'!$P$6:$P$305,M78))</x:f>
        <x:v>0</x:v>
      </x:c>
      <x:c r="S78" s="36" t="n">
        <x:f>IF(AND(L78=1,N78&gt;=1,N78&lt;=4),1,0)</x:f>
        <x:v>0</x:v>
      </x:c>
      <x:c r="T78" s="36" t="n">
        <x:f>IF(AND(S78=1,Q78&gt;'01_설정'!$B$10),1,0)</x:f>
        <x:v>0</x:v>
      </x:c>
      <x:c r="U78" s="36" t="n">
        <x:f>IF(AND(L78=1,N78=5),1,0)</x:f>
        <x:v>0</x:v>
      </x:c>
      <x:c r="V78" s="36" t="str">
        <x:f>IF(AND(L78=1,N78&gt;=6,N78&lt;=8,P78&gt;0),P78-F78,"")</x:f>
      </x:c>
      <x:c r="W78" s="36" t="str">
        <x:f>IF(OR(A78="",M78=0),"",IFERROR(INDEX('13_검토이력'!$L$6:$L$305,MATCH(M78,'13_검토이력'!$P$6:$P$305,0)),""))</x:f>
      </x:c>
      <x:c r="X78" s="36" t="n">
        <x:f>IF(A78="",0,IF(COUNTIF('12_신청'!$A$6:$A$105,A78)&gt;1,1,0))</x:f>
        <x:v>0</x:v>
      </x:c>
    </x:row>
    <x:row r="79" ht="20" customHeight="1">
      <x:c r="A79" s="22"/>
      <x:c r="B79" s="22"/>
      <x:c r="C79" s="26"/>
      <x:c r="D79" s="22"/>
      <x:c r="E79" s="22"/>
      <x:c r="F79" s="28"/>
      <x:c r="G79" s="28"/>
      <x:c r="H79" s="22"/>
      <x:c r="I79" s="22"/>
      <x:c r="J79" s="22"/>
      <x:c r="K79" s="36" t="n">
        <x:f>IF(A79="",0,IF('01_설정'!$B$8="all",1,IF('01_설정'!$B$8="industry_transition",IF(OR(E79="industry",E79="transition"),1,0),IF(E79='01_설정'!$B$8,1,0))))</x:f>
        <x:v>0</x:v>
      </x:c>
      <x:c r="L79" s="36" t="n">
        <x:f>IF(A79="",0,IF(AND(K79=1,F79&lt;='01_설정'!$B$6,G79&lt;='01_설정'!$B$7),1,0))</x:f>
        <x:v>0</x:v>
      </x:c>
      <x:c r="M79" s="36" t="n">
        <x:f>IF(A79="",0,_xlfn.MAXIFS('13_검토이력'!$P$6:$P$305,'13_검토이력'!$B$6:$B$305,A79,'13_검토이력'!$O$6:$O$305,1))</x:f>
        <x:v>0</x:v>
      </x:c>
      <x:c r="N79" s="36" t="n">
        <x:f>IF(A79="",9,IF(M79=0,9,SUMIFS('13_검토이력'!$N$6:$N$305,'13_검토이력'!$P$6:$P$305,M79)))</x:f>
        <x:v>9</x:v>
      </x:c>
      <x:c r="O79" s="36" t="str">
        <x:f>IF(A79="","",INDEX('17_코드북'!$B$6:$B$15,N79+1))</x:f>
      </x:c>
      <x:c r="P79" s="41" t="n">
        <x:f>IF(A79="",0,_xlfn.MAXIFS('13_검토이력'!$D$6:$D$305,'13_검토이력'!$B$6:$B$305,A79,'13_검토이력'!$O$6:$O$305,1,'13_검토이력'!$Q$6:$Q$305,1))</x:f>
        <x:v>0</x:v>
      </x:c>
      <x:c r="Q79" s="36" t="str">
        <x:f>IF(OR(L79=0,P79=0),"",'01_설정'!$B$6-P79)</x:f>
      </x:c>
      <x:c r="R79" s="36" t="n">
        <x:f>IF(OR(L79=0,M79=0),0,SUMIFS('13_검토이력'!$S$6:$S$305,'13_검토이력'!$P$6:$P$305,M79))</x:f>
        <x:v>0</x:v>
      </x:c>
      <x:c r="S79" s="36" t="n">
        <x:f>IF(AND(L79=1,N79&gt;=1,N79&lt;=4),1,0)</x:f>
        <x:v>0</x:v>
      </x:c>
      <x:c r="T79" s="36" t="n">
        <x:f>IF(AND(S79=1,Q79&gt;'01_설정'!$B$10),1,0)</x:f>
        <x:v>0</x:v>
      </x:c>
      <x:c r="U79" s="36" t="n">
        <x:f>IF(AND(L79=1,N79=5),1,0)</x:f>
        <x:v>0</x:v>
      </x:c>
      <x:c r="V79" s="36" t="str">
        <x:f>IF(AND(L79=1,N79&gt;=6,N79&lt;=8,P79&gt;0),P79-F79,"")</x:f>
      </x:c>
      <x:c r="W79" s="36" t="str">
        <x:f>IF(OR(A79="",M79=0),"",IFERROR(INDEX('13_검토이력'!$L$6:$L$305,MATCH(M79,'13_검토이력'!$P$6:$P$305,0)),""))</x:f>
      </x:c>
      <x:c r="X79" s="36" t="n">
        <x:f>IF(A79="",0,IF(COUNTIF('12_신청'!$A$6:$A$105,A79)&gt;1,1,0))</x:f>
        <x:v>0</x:v>
      </x:c>
    </x:row>
    <x:row r="80" ht="20" customHeight="1">
      <x:c r="A80" s="22"/>
      <x:c r="B80" s="22"/>
      <x:c r="C80" s="26"/>
      <x:c r="D80" s="22"/>
      <x:c r="E80" s="22"/>
      <x:c r="F80" s="28"/>
      <x:c r="G80" s="28"/>
      <x:c r="H80" s="22"/>
      <x:c r="I80" s="22"/>
      <x:c r="J80" s="22"/>
      <x:c r="K80" s="36" t="n">
        <x:f>IF(A80="",0,IF('01_설정'!$B$8="all",1,IF('01_설정'!$B$8="industry_transition",IF(OR(E80="industry",E80="transition"),1,0),IF(E80='01_설정'!$B$8,1,0))))</x:f>
        <x:v>0</x:v>
      </x:c>
      <x:c r="L80" s="36" t="n">
        <x:f>IF(A80="",0,IF(AND(K80=1,F80&lt;='01_설정'!$B$6,G80&lt;='01_설정'!$B$7),1,0))</x:f>
        <x:v>0</x:v>
      </x:c>
      <x:c r="M80" s="36" t="n">
        <x:f>IF(A80="",0,_xlfn.MAXIFS('13_검토이력'!$P$6:$P$305,'13_검토이력'!$B$6:$B$305,A80,'13_검토이력'!$O$6:$O$305,1))</x:f>
        <x:v>0</x:v>
      </x:c>
      <x:c r="N80" s="36" t="n">
        <x:f>IF(A80="",9,IF(M80=0,9,SUMIFS('13_검토이력'!$N$6:$N$305,'13_검토이력'!$P$6:$P$305,M80)))</x:f>
        <x:v>9</x:v>
      </x:c>
      <x:c r="O80" s="36" t="str">
        <x:f>IF(A80="","",INDEX('17_코드북'!$B$6:$B$15,N80+1))</x:f>
      </x:c>
      <x:c r="P80" s="41" t="n">
        <x:f>IF(A80="",0,_xlfn.MAXIFS('13_검토이력'!$D$6:$D$305,'13_검토이력'!$B$6:$B$305,A80,'13_검토이력'!$O$6:$O$305,1,'13_검토이력'!$Q$6:$Q$305,1))</x:f>
        <x:v>0</x:v>
      </x:c>
      <x:c r="Q80" s="36" t="str">
        <x:f>IF(OR(L80=0,P80=0),"",'01_설정'!$B$6-P80)</x:f>
      </x:c>
      <x:c r="R80" s="36" t="n">
        <x:f>IF(OR(L80=0,M80=0),0,SUMIFS('13_검토이력'!$S$6:$S$305,'13_검토이력'!$P$6:$P$305,M80))</x:f>
        <x:v>0</x:v>
      </x:c>
      <x:c r="S80" s="36" t="n">
        <x:f>IF(AND(L80=1,N80&gt;=1,N80&lt;=4),1,0)</x:f>
        <x:v>0</x:v>
      </x:c>
      <x:c r="T80" s="36" t="n">
        <x:f>IF(AND(S80=1,Q80&gt;'01_설정'!$B$10),1,0)</x:f>
        <x:v>0</x:v>
      </x:c>
      <x:c r="U80" s="36" t="n">
        <x:f>IF(AND(L80=1,N80=5),1,0)</x:f>
        <x:v>0</x:v>
      </x:c>
      <x:c r="V80" s="36" t="str">
        <x:f>IF(AND(L80=1,N80&gt;=6,N80&lt;=8,P80&gt;0),P80-F80,"")</x:f>
      </x:c>
      <x:c r="W80" s="36" t="str">
        <x:f>IF(OR(A80="",M80=0),"",IFERROR(INDEX('13_검토이력'!$L$6:$L$305,MATCH(M80,'13_검토이력'!$P$6:$P$305,0)),""))</x:f>
      </x:c>
      <x:c r="X80" s="36" t="n">
        <x:f>IF(A80="",0,IF(COUNTIF('12_신청'!$A$6:$A$105,A80)&gt;1,1,0))</x:f>
        <x:v>0</x:v>
      </x:c>
    </x:row>
    <x:row r="81" ht="20" customHeight="1">
      <x:c r="A81" s="22"/>
      <x:c r="B81" s="22"/>
      <x:c r="C81" s="26"/>
      <x:c r="D81" s="22"/>
      <x:c r="E81" s="22"/>
      <x:c r="F81" s="28"/>
      <x:c r="G81" s="28"/>
      <x:c r="H81" s="22"/>
      <x:c r="I81" s="22"/>
      <x:c r="J81" s="22"/>
      <x:c r="K81" s="36" t="n">
        <x:f>IF(A81="",0,IF('01_설정'!$B$8="all",1,IF('01_설정'!$B$8="industry_transition",IF(OR(E81="industry",E81="transition"),1,0),IF(E81='01_설정'!$B$8,1,0))))</x:f>
        <x:v>0</x:v>
      </x:c>
      <x:c r="L81" s="36" t="n">
        <x:f>IF(A81="",0,IF(AND(K81=1,F81&lt;='01_설정'!$B$6,G81&lt;='01_설정'!$B$7),1,0))</x:f>
        <x:v>0</x:v>
      </x:c>
      <x:c r="M81" s="36" t="n">
        <x:f>IF(A81="",0,_xlfn.MAXIFS('13_검토이력'!$P$6:$P$305,'13_검토이력'!$B$6:$B$305,A81,'13_검토이력'!$O$6:$O$305,1))</x:f>
        <x:v>0</x:v>
      </x:c>
      <x:c r="N81" s="36" t="n">
        <x:f>IF(A81="",9,IF(M81=0,9,SUMIFS('13_검토이력'!$N$6:$N$305,'13_검토이력'!$P$6:$P$305,M81)))</x:f>
        <x:v>9</x:v>
      </x:c>
      <x:c r="O81" s="36" t="str">
        <x:f>IF(A81="","",INDEX('17_코드북'!$B$6:$B$15,N81+1))</x:f>
      </x:c>
      <x:c r="P81" s="41" t="n">
        <x:f>IF(A81="",0,_xlfn.MAXIFS('13_검토이력'!$D$6:$D$305,'13_검토이력'!$B$6:$B$305,A81,'13_검토이력'!$O$6:$O$305,1,'13_검토이력'!$Q$6:$Q$305,1))</x:f>
        <x:v>0</x:v>
      </x:c>
      <x:c r="Q81" s="36" t="str">
        <x:f>IF(OR(L81=0,P81=0),"",'01_설정'!$B$6-P81)</x:f>
      </x:c>
      <x:c r="R81" s="36" t="n">
        <x:f>IF(OR(L81=0,M81=0),0,SUMIFS('13_검토이력'!$S$6:$S$305,'13_검토이력'!$P$6:$P$305,M81))</x:f>
        <x:v>0</x:v>
      </x:c>
      <x:c r="S81" s="36" t="n">
        <x:f>IF(AND(L81=1,N81&gt;=1,N81&lt;=4),1,0)</x:f>
        <x:v>0</x:v>
      </x:c>
      <x:c r="T81" s="36" t="n">
        <x:f>IF(AND(S81=1,Q81&gt;'01_설정'!$B$10),1,0)</x:f>
        <x:v>0</x:v>
      </x:c>
      <x:c r="U81" s="36" t="n">
        <x:f>IF(AND(L81=1,N81=5),1,0)</x:f>
        <x:v>0</x:v>
      </x:c>
      <x:c r="V81" s="36" t="str">
        <x:f>IF(AND(L81=1,N81&gt;=6,N81&lt;=8,P81&gt;0),P81-F81,"")</x:f>
      </x:c>
      <x:c r="W81" s="36" t="str">
        <x:f>IF(OR(A81="",M81=0),"",IFERROR(INDEX('13_검토이력'!$L$6:$L$305,MATCH(M81,'13_검토이력'!$P$6:$P$305,0)),""))</x:f>
      </x:c>
      <x:c r="X81" s="36" t="n">
        <x:f>IF(A81="",0,IF(COUNTIF('12_신청'!$A$6:$A$105,A81)&gt;1,1,0))</x:f>
        <x:v>0</x:v>
      </x:c>
    </x:row>
    <x:row r="82" ht="20" customHeight="1">
      <x:c r="A82" s="22"/>
      <x:c r="B82" s="22"/>
      <x:c r="C82" s="26"/>
      <x:c r="D82" s="22"/>
      <x:c r="E82" s="22"/>
      <x:c r="F82" s="28"/>
      <x:c r="G82" s="28"/>
      <x:c r="H82" s="22"/>
      <x:c r="I82" s="22"/>
      <x:c r="J82" s="22"/>
      <x:c r="K82" s="36" t="n">
        <x:f>IF(A82="",0,IF('01_설정'!$B$8="all",1,IF('01_설정'!$B$8="industry_transition",IF(OR(E82="industry",E82="transition"),1,0),IF(E82='01_설정'!$B$8,1,0))))</x:f>
        <x:v>0</x:v>
      </x:c>
      <x:c r="L82" s="36" t="n">
        <x:f>IF(A82="",0,IF(AND(K82=1,F82&lt;='01_설정'!$B$6,G82&lt;='01_설정'!$B$7),1,0))</x:f>
        <x:v>0</x:v>
      </x:c>
      <x:c r="M82" s="36" t="n">
        <x:f>IF(A82="",0,_xlfn.MAXIFS('13_검토이력'!$P$6:$P$305,'13_검토이력'!$B$6:$B$305,A82,'13_검토이력'!$O$6:$O$305,1))</x:f>
        <x:v>0</x:v>
      </x:c>
      <x:c r="N82" s="36" t="n">
        <x:f>IF(A82="",9,IF(M82=0,9,SUMIFS('13_검토이력'!$N$6:$N$305,'13_검토이력'!$P$6:$P$305,M82)))</x:f>
        <x:v>9</x:v>
      </x:c>
      <x:c r="O82" s="36" t="str">
        <x:f>IF(A82="","",INDEX('17_코드북'!$B$6:$B$15,N82+1))</x:f>
      </x:c>
      <x:c r="P82" s="41" t="n">
        <x:f>IF(A82="",0,_xlfn.MAXIFS('13_검토이력'!$D$6:$D$305,'13_검토이력'!$B$6:$B$305,A82,'13_검토이력'!$O$6:$O$305,1,'13_검토이력'!$Q$6:$Q$305,1))</x:f>
        <x:v>0</x:v>
      </x:c>
      <x:c r="Q82" s="36" t="str">
        <x:f>IF(OR(L82=0,P82=0),"",'01_설정'!$B$6-P82)</x:f>
      </x:c>
      <x:c r="R82" s="36" t="n">
        <x:f>IF(OR(L82=0,M82=0),0,SUMIFS('13_검토이력'!$S$6:$S$305,'13_검토이력'!$P$6:$P$305,M82))</x:f>
        <x:v>0</x:v>
      </x:c>
      <x:c r="S82" s="36" t="n">
        <x:f>IF(AND(L82=1,N82&gt;=1,N82&lt;=4),1,0)</x:f>
        <x:v>0</x:v>
      </x:c>
      <x:c r="T82" s="36" t="n">
        <x:f>IF(AND(S82=1,Q82&gt;'01_설정'!$B$10),1,0)</x:f>
        <x:v>0</x:v>
      </x:c>
      <x:c r="U82" s="36" t="n">
        <x:f>IF(AND(L82=1,N82=5),1,0)</x:f>
        <x:v>0</x:v>
      </x:c>
      <x:c r="V82" s="36" t="str">
        <x:f>IF(AND(L82=1,N82&gt;=6,N82&lt;=8,P82&gt;0),P82-F82,"")</x:f>
      </x:c>
      <x:c r="W82" s="36" t="str">
        <x:f>IF(OR(A82="",M82=0),"",IFERROR(INDEX('13_검토이력'!$L$6:$L$305,MATCH(M82,'13_검토이력'!$P$6:$P$305,0)),""))</x:f>
      </x:c>
      <x:c r="X82" s="36" t="n">
        <x:f>IF(A82="",0,IF(COUNTIF('12_신청'!$A$6:$A$105,A82)&gt;1,1,0))</x:f>
        <x:v>0</x:v>
      </x:c>
    </x:row>
    <x:row r="83" ht="20" customHeight="1">
      <x:c r="A83" s="22"/>
      <x:c r="B83" s="22"/>
      <x:c r="C83" s="26"/>
      <x:c r="D83" s="22"/>
      <x:c r="E83" s="22"/>
      <x:c r="F83" s="28"/>
      <x:c r="G83" s="28"/>
      <x:c r="H83" s="22"/>
      <x:c r="I83" s="22"/>
      <x:c r="J83" s="22"/>
      <x:c r="K83" s="36" t="n">
        <x:f>IF(A83="",0,IF('01_설정'!$B$8="all",1,IF('01_설정'!$B$8="industry_transition",IF(OR(E83="industry",E83="transition"),1,0),IF(E83='01_설정'!$B$8,1,0))))</x:f>
        <x:v>0</x:v>
      </x:c>
      <x:c r="L83" s="36" t="n">
        <x:f>IF(A83="",0,IF(AND(K83=1,F83&lt;='01_설정'!$B$6,G83&lt;='01_설정'!$B$7),1,0))</x:f>
        <x:v>0</x:v>
      </x:c>
      <x:c r="M83" s="36" t="n">
        <x:f>IF(A83="",0,_xlfn.MAXIFS('13_검토이력'!$P$6:$P$305,'13_검토이력'!$B$6:$B$305,A83,'13_검토이력'!$O$6:$O$305,1))</x:f>
        <x:v>0</x:v>
      </x:c>
      <x:c r="N83" s="36" t="n">
        <x:f>IF(A83="",9,IF(M83=0,9,SUMIFS('13_검토이력'!$N$6:$N$305,'13_검토이력'!$P$6:$P$305,M83)))</x:f>
        <x:v>9</x:v>
      </x:c>
      <x:c r="O83" s="36" t="str">
        <x:f>IF(A83="","",INDEX('17_코드북'!$B$6:$B$15,N83+1))</x:f>
      </x:c>
      <x:c r="P83" s="41" t="n">
        <x:f>IF(A83="",0,_xlfn.MAXIFS('13_검토이력'!$D$6:$D$305,'13_검토이력'!$B$6:$B$305,A83,'13_검토이력'!$O$6:$O$305,1,'13_검토이력'!$Q$6:$Q$305,1))</x:f>
        <x:v>0</x:v>
      </x:c>
      <x:c r="Q83" s="36" t="str">
        <x:f>IF(OR(L83=0,P83=0),"",'01_설정'!$B$6-P83)</x:f>
      </x:c>
      <x:c r="R83" s="36" t="n">
        <x:f>IF(OR(L83=0,M83=0),0,SUMIFS('13_검토이력'!$S$6:$S$305,'13_검토이력'!$P$6:$P$305,M83))</x:f>
        <x:v>0</x:v>
      </x:c>
      <x:c r="S83" s="36" t="n">
        <x:f>IF(AND(L83=1,N83&gt;=1,N83&lt;=4),1,0)</x:f>
        <x:v>0</x:v>
      </x:c>
      <x:c r="T83" s="36" t="n">
        <x:f>IF(AND(S83=1,Q83&gt;'01_설정'!$B$10),1,0)</x:f>
        <x:v>0</x:v>
      </x:c>
      <x:c r="U83" s="36" t="n">
        <x:f>IF(AND(L83=1,N83=5),1,0)</x:f>
        <x:v>0</x:v>
      </x:c>
      <x:c r="V83" s="36" t="str">
        <x:f>IF(AND(L83=1,N83&gt;=6,N83&lt;=8,P83&gt;0),P83-F83,"")</x:f>
      </x:c>
      <x:c r="W83" s="36" t="str">
        <x:f>IF(OR(A83="",M83=0),"",IFERROR(INDEX('13_검토이력'!$L$6:$L$305,MATCH(M83,'13_검토이력'!$P$6:$P$305,0)),""))</x:f>
      </x:c>
      <x:c r="X83" s="36" t="n">
        <x:f>IF(A83="",0,IF(COUNTIF('12_신청'!$A$6:$A$105,A83)&gt;1,1,0))</x:f>
        <x:v>0</x:v>
      </x:c>
    </x:row>
    <x:row r="84" ht="20" customHeight="1">
      <x:c r="A84" s="22"/>
      <x:c r="B84" s="22"/>
      <x:c r="C84" s="26"/>
      <x:c r="D84" s="22"/>
      <x:c r="E84" s="22"/>
      <x:c r="F84" s="28"/>
      <x:c r="G84" s="28"/>
      <x:c r="H84" s="22"/>
      <x:c r="I84" s="22"/>
      <x:c r="J84" s="22"/>
      <x:c r="K84" s="36" t="n">
        <x:f>IF(A84="",0,IF('01_설정'!$B$8="all",1,IF('01_설정'!$B$8="industry_transition",IF(OR(E84="industry",E84="transition"),1,0),IF(E84='01_설정'!$B$8,1,0))))</x:f>
        <x:v>0</x:v>
      </x:c>
      <x:c r="L84" s="36" t="n">
        <x:f>IF(A84="",0,IF(AND(K84=1,F84&lt;='01_설정'!$B$6,G84&lt;='01_설정'!$B$7),1,0))</x:f>
        <x:v>0</x:v>
      </x:c>
      <x:c r="M84" s="36" t="n">
        <x:f>IF(A84="",0,_xlfn.MAXIFS('13_검토이력'!$P$6:$P$305,'13_검토이력'!$B$6:$B$305,A84,'13_검토이력'!$O$6:$O$305,1))</x:f>
        <x:v>0</x:v>
      </x:c>
      <x:c r="N84" s="36" t="n">
        <x:f>IF(A84="",9,IF(M84=0,9,SUMIFS('13_검토이력'!$N$6:$N$305,'13_검토이력'!$P$6:$P$305,M84)))</x:f>
        <x:v>9</x:v>
      </x:c>
      <x:c r="O84" s="36" t="str">
        <x:f>IF(A84="","",INDEX('17_코드북'!$B$6:$B$15,N84+1))</x:f>
      </x:c>
      <x:c r="P84" s="41" t="n">
        <x:f>IF(A84="",0,_xlfn.MAXIFS('13_검토이력'!$D$6:$D$305,'13_검토이력'!$B$6:$B$305,A84,'13_검토이력'!$O$6:$O$305,1,'13_검토이력'!$Q$6:$Q$305,1))</x:f>
        <x:v>0</x:v>
      </x:c>
      <x:c r="Q84" s="36" t="str">
        <x:f>IF(OR(L84=0,P84=0),"",'01_설정'!$B$6-P84)</x:f>
      </x:c>
      <x:c r="R84" s="36" t="n">
        <x:f>IF(OR(L84=0,M84=0),0,SUMIFS('13_검토이력'!$S$6:$S$305,'13_검토이력'!$P$6:$P$305,M84))</x:f>
        <x:v>0</x:v>
      </x:c>
      <x:c r="S84" s="36" t="n">
        <x:f>IF(AND(L84=1,N84&gt;=1,N84&lt;=4),1,0)</x:f>
        <x:v>0</x:v>
      </x:c>
      <x:c r="T84" s="36" t="n">
        <x:f>IF(AND(S84=1,Q84&gt;'01_설정'!$B$10),1,0)</x:f>
        <x:v>0</x:v>
      </x:c>
      <x:c r="U84" s="36" t="n">
        <x:f>IF(AND(L84=1,N84=5),1,0)</x:f>
        <x:v>0</x:v>
      </x:c>
      <x:c r="V84" s="36" t="str">
        <x:f>IF(AND(L84=1,N84&gt;=6,N84&lt;=8,P84&gt;0),P84-F84,"")</x:f>
      </x:c>
      <x:c r="W84" s="36" t="str">
        <x:f>IF(OR(A84="",M84=0),"",IFERROR(INDEX('13_검토이력'!$L$6:$L$305,MATCH(M84,'13_검토이력'!$P$6:$P$305,0)),""))</x:f>
      </x:c>
      <x:c r="X84" s="36" t="n">
        <x:f>IF(A84="",0,IF(COUNTIF('12_신청'!$A$6:$A$105,A84)&gt;1,1,0))</x:f>
        <x:v>0</x:v>
      </x:c>
    </x:row>
    <x:row r="85" ht="20" customHeight="1">
      <x:c r="A85" s="22"/>
      <x:c r="B85" s="22"/>
      <x:c r="C85" s="26"/>
      <x:c r="D85" s="22"/>
      <x:c r="E85" s="22"/>
      <x:c r="F85" s="28"/>
      <x:c r="G85" s="28"/>
      <x:c r="H85" s="22"/>
      <x:c r="I85" s="22"/>
      <x:c r="J85" s="22"/>
      <x:c r="K85" s="36" t="n">
        <x:f>IF(A85="",0,IF('01_설정'!$B$8="all",1,IF('01_설정'!$B$8="industry_transition",IF(OR(E85="industry",E85="transition"),1,0),IF(E85='01_설정'!$B$8,1,0))))</x:f>
        <x:v>0</x:v>
      </x:c>
      <x:c r="L85" s="36" t="n">
        <x:f>IF(A85="",0,IF(AND(K85=1,F85&lt;='01_설정'!$B$6,G85&lt;='01_설정'!$B$7),1,0))</x:f>
        <x:v>0</x:v>
      </x:c>
      <x:c r="M85" s="36" t="n">
        <x:f>IF(A85="",0,_xlfn.MAXIFS('13_검토이력'!$P$6:$P$305,'13_검토이력'!$B$6:$B$305,A85,'13_검토이력'!$O$6:$O$305,1))</x:f>
        <x:v>0</x:v>
      </x:c>
      <x:c r="N85" s="36" t="n">
        <x:f>IF(A85="",9,IF(M85=0,9,SUMIFS('13_검토이력'!$N$6:$N$305,'13_검토이력'!$P$6:$P$305,M85)))</x:f>
        <x:v>9</x:v>
      </x:c>
      <x:c r="O85" s="36" t="str">
        <x:f>IF(A85="","",INDEX('17_코드북'!$B$6:$B$15,N85+1))</x:f>
      </x:c>
      <x:c r="P85" s="41" t="n">
        <x:f>IF(A85="",0,_xlfn.MAXIFS('13_검토이력'!$D$6:$D$305,'13_검토이력'!$B$6:$B$305,A85,'13_검토이력'!$O$6:$O$305,1,'13_검토이력'!$Q$6:$Q$305,1))</x:f>
        <x:v>0</x:v>
      </x:c>
      <x:c r="Q85" s="36" t="str">
        <x:f>IF(OR(L85=0,P85=0),"",'01_설정'!$B$6-P85)</x:f>
      </x:c>
      <x:c r="R85" s="36" t="n">
        <x:f>IF(OR(L85=0,M85=0),0,SUMIFS('13_검토이력'!$S$6:$S$305,'13_검토이력'!$P$6:$P$305,M85))</x:f>
        <x:v>0</x:v>
      </x:c>
      <x:c r="S85" s="36" t="n">
        <x:f>IF(AND(L85=1,N85&gt;=1,N85&lt;=4),1,0)</x:f>
        <x:v>0</x:v>
      </x:c>
      <x:c r="T85" s="36" t="n">
        <x:f>IF(AND(S85=1,Q85&gt;'01_설정'!$B$10),1,0)</x:f>
        <x:v>0</x:v>
      </x:c>
      <x:c r="U85" s="36" t="n">
        <x:f>IF(AND(L85=1,N85=5),1,0)</x:f>
        <x:v>0</x:v>
      </x:c>
      <x:c r="V85" s="36" t="str">
        <x:f>IF(AND(L85=1,N85&gt;=6,N85&lt;=8,P85&gt;0),P85-F85,"")</x:f>
      </x:c>
      <x:c r="W85" s="36" t="str">
        <x:f>IF(OR(A85="",M85=0),"",IFERROR(INDEX('13_검토이력'!$L$6:$L$305,MATCH(M85,'13_검토이력'!$P$6:$P$305,0)),""))</x:f>
      </x:c>
      <x:c r="X85" s="36" t="n">
        <x:f>IF(A85="",0,IF(COUNTIF('12_신청'!$A$6:$A$105,A85)&gt;1,1,0))</x:f>
        <x:v>0</x:v>
      </x:c>
    </x:row>
    <x:row r="86" ht="20" customHeight="1">
      <x:c r="A86" s="22"/>
      <x:c r="B86" s="22"/>
      <x:c r="C86" s="26"/>
      <x:c r="D86" s="22"/>
      <x:c r="E86" s="22"/>
      <x:c r="F86" s="28"/>
      <x:c r="G86" s="28"/>
      <x:c r="H86" s="22"/>
      <x:c r="I86" s="22"/>
      <x:c r="J86" s="22"/>
      <x:c r="K86" s="36" t="n">
        <x:f>IF(A86="",0,IF('01_설정'!$B$8="all",1,IF('01_설정'!$B$8="industry_transition",IF(OR(E86="industry",E86="transition"),1,0),IF(E86='01_설정'!$B$8,1,0))))</x:f>
        <x:v>0</x:v>
      </x:c>
      <x:c r="L86" s="36" t="n">
        <x:f>IF(A86="",0,IF(AND(K86=1,F86&lt;='01_설정'!$B$6,G86&lt;='01_설정'!$B$7),1,0))</x:f>
        <x:v>0</x:v>
      </x:c>
      <x:c r="M86" s="36" t="n">
        <x:f>IF(A86="",0,_xlfn.MAXIFS('13_검토이력'!$P$6:$P$305,'13_검토이력'!$B$6:$B$305,A86,'13_검토이력'!$O$6:$O$305,1))</x:f>
        <x:v>0</x:v>
      </x:c>
      <x:c r="N86" s="36" t="n">
        <x:f>IF(A86="",9,IF(M86=0,9,SUMIFS('13_검토이력'!$N$6:$N$305,'13_검토이력'!$P$6:$P$305,M86)))</x:f>
        <x:v>9</x:v>
      </x:c>
      <x:c r="O86" s="36" t="str">
        <x:f>IF(A86="","",INDEX('17_코드북'!$B$6:$B$15,N86+1))</x:f>
      </x:c>
      <x:c r="P86" s="41" t="n">
        <x:f>IF(A86="",0,_xlfn.MAXIFS('13_검토이력'!$D$6:$D$305,'13_검토이력'!$B$6:$B$305,A86,'13_검토이력'!$O$6:$O$305,1,'13_검토이력'!$Q$6:$Q$305,1))</x:f>
        <x:v>0</x:v>
      </x:c>
      <x:c r="Q86" s="36" t="str">
        <x:f>IF(OR(L86=0,P86=0),"",'01_설정'!$B$6-P86)</x:f>
      </x:c>
      <x:c r="R86" s="36" t="n">
        <x:f>IF(OR(L86=0,M86=0),0,SUMIFS('13_검토이력'!$S$6:$S$305,'13_검토이력'!$P$6:$P$305,M86))</x:f>
        <x:v>0</x:v>
      </x:c>
      <x:c r="S86" s="36" t="n">
        <x:f>IF(AND(L86=1,N86&gt;=1,N86&lt;=4),1,0)</x:f>
        <x:v>0</x:v>
      </x:c>
      <x:c r="T86" s="36" t="n">
        <x:f>IF(AND(S86=1,Q86&gt;'01_설정'!$B$10),1,0)</x:f>
        <x:v>0</x:v>
      </x:c>
      <x:c r="U86" s="36" t="n">
        <x:f>IF(AND(L86=1,N86=5),1,0)</x:f>
        <x:v>0</x:v>
      </x:c>
      <x:c r="V86" s="36" t="str">
        <x:f>IF(AND(L86=1,N86&gt;=6,N86&lt;=8,P86&gt;0),P86-F86,"")</x:f>
      </x:c>
      <x:c r="W86" s="36" t="str">
        <x:f>IF(OR(A86="",M86=0),"",IFERROR(INDEX('13_검토이력'!$L$6:$L$305,MATCH(M86,'13_검토이력'!$P$6:$P$305,0)),""))</x:f>
      </x:c>
      <x:c r="X86" s="36" t="n">
        <x:f>IF(A86="",0,IF(COUNTIF('12_신청'!$A$6:$A$105,A86)&gt;1,1,0))</x:f>
        <x:v>0</x:v>
      </x:c>
    </x:row>
    <x:row r="87" ht="20" customHeight="1">
      <x:c r="A87" s="22"/>
      <x:c r="B87" s="22"/>
      <x:c r="C87" s="26"/>
      <x:c r="D87" s="22"/>
      <x:c r="E87" s="22"/>
      <x:c r="F87" s="28"/>
      <x:c r="G87" s="28"/>
      <x:c r="H87" s="22"/>
      <x:c r="I87" s="22"/>
      <x:c r="J87" s="22"/>
      <x:c r="K87" s="36" t="n">
        <x:f>IF(A87="",0,IF('01_설정'!$B$8="all",1,IF('01_설정'!$B$8="industry_transition",IF(OR(E87="industry",E87="transition"),1,0),IF(E87='01_설정'!$B$8,1,0))))</x:f>
        <x:v>0</x:v>
      </x:c>
      <x:c r="L87" s="36" t="n">
        <x:f>IF(A87="",0,IF(AND(K87=1,F87&lt;='01_설정'!$B$6,G87&lt;='01_설정'!$B$7),1,0))</x:f>
        <x:v>0</x:v>
      </x:c>
      <x:c r="M87" s="36" t="n">
        <x:f>IF(A87="",0,_xlfn.MAXIFS('13_검토이력'!$P$6:$P$305,'13_검토이력'!$B$6:$B$305,A87,'13_검토이력'!$O$6:$O$305,1))</x:f>
        <x:v>0</x:v>
      </x:c>
      <x:c r="N87" s="36" t="n">
        <x:f>IF(A87="",9,IF(M87=0,9,SUMIFS('13_검토이력'!$N$6:$N$305,'13_검토이력'!$P$6:$P$305,M87)))</x:f>
        <x:v>9</x:v>
      </x:c>
      <x:c r="O87" s="36" t="str">
        <x:f>IF(A87="","",INDEX('17_코드북'!$B$6:$B$15,N87+1))</x:f>
      </x:c>
      <x:c r="P87" s="41" t="n">
        <x:f>IF(A87="",0,_xlfn.MAXIFS('13_검토이력'!$D$6:$D$305,'13_검토이력'!$B$6:$B$305,A87,'13_검토이력'!$O$6:$O$305,1,'13_검토이력'!$Q$6:$Q$305,1))</x:f>
        <x:v>0</x:v>
      </x:c>
      <x:c r="Q87" s="36" t="str">
        <x:f>IF(OR(L87=0,P87=0),"",'01_설정'!$B$6-P87)</x:f>
      </x:c>
      <x:c r="R87" s="36" t="n">
        <x:f>IF(OR(L87=0,M87=0),0,SUMIFS('13_검토이력'!$S$6:$S$305,'13_검토이력'!$P$6:$P$305,M87))</x:f>
        <x:v>0</x:v>
      </x:c>
      <x:c r="S87" s="36" t="n">
        <x:f>IF(AND(L87=1,N87&gt;=1,N87&lt;=4),1,0)</x:f>
        <x:v>0</x:v>
      </x:c>
      <x:c r="T87" s="36" t="n">
        <x:f>IF(AND(S87=1,Q87&gt;'01_설정'!$B$10),1,0)</x:f>
        <x:v>0</x:v>
      </x:c>
      <x:c r="U87" s="36" t="n">
        <x:f>IF(AND(L87=1,N87=5),1,0)</x:f>
        <x:v>0</x:v>
      </x:c>
      <x:c r="V87" s="36" t="str">
        <x:f>IF(AND(L87=1,N87&gt;=6,N87&lt;=8,P87&gt;0),P87-F87,"")</x:f>
      </x:c>
      <x:c r="W87" s="36" t="str">
        <x:f>IF(OR(A87="",M87=0),"",IFERROR(INDEX('13_검토이력'!$L$6:$L$305,MATCH(M87,'13_검토이력'!$P$6:$P$305,0)),""))</x:f>
      </x:c>
      <x:c r="X87" s="36" t="n">
        <x:f>IF(A87="",0,IF(COUNTIF('12_신청'!$A$6:$A$105,A87)&gt;1,1,0))</x:f>
        <x:v>0</x:v>
      </x:c>
    </x:row>
    <x:row r="88" ht="20" customHeight="1">
      <x:c r="A88" s="22"/>
      <x:c r="B88" s="22"/>
      <x:c r="C88" s="26"/>
      <x:c r="D88" s="22"/>
      <x:c r="E88" s="22"/>
      <x:c r="F88" s="28"/>
      <x:c r="G88" s="28"/>
      <x:c r="H88" s="22"/>
      <x:c r="I88" s="22"/>
      <x:c r="J88" s="22"/>
      <x:c r="K88" s="36" t="n">
        <x:f>IF(A88="",0,IF('01_설정'!$B$8="all",1,IF('01_설정'!$B$8="industry_transition",IF(OR(E88="industry",E88="transition"),1,0),IF(E88='01_설정'!$B$8,1,0))))</x:f>
        <x:v>0</x:v>
      </x:c>
      <x:c r="L88" s="36" t="n">
        <x:f>IF(A88="",0,IF(AND(K88=1,F88&lt;='01_설정'!$B$6,G88&lt;='01_설정'!$B$7),1,0))</x:f>
        <x:v>0</x:v>
      </x:c>
      <x:c r="M88" s="36" t="n">
        <x:f>IF(A88="",0,_xlfn.MAXIFS('13_검토이력'!$P$6:$P$305,'13_검토이력'!$B$6:$B$305,A88,'13_검토이력'!$O$6:$O$305,1))</x:f>
        <x:v>0</x:v>
      </x:c>
      <x:c r="N88" s="36" t="n">
        <x:f>IF(A88="",9,IF(M88=0,9,SUMIFS('13_검토이력'!$N$6:$N$305,'13_검토이력'!$P$6:$P$305,M88)))</x:f>
        <x:v>9</x:v>
      </x:c>
      <x:c r="O88" s="36" t="str">
        <x:f>IF(A88="","",INDEX('17_코드북'!$B$6:$B$15,N88+1))</x:f>
      </x:c>
      <x:c r="P88" s="41" t="n">
        <x:f>IF(A88="",0,_xlfn.MAXIFS('13_검토이력'!$D$6:$D$305,'13_검토이력'!$B$6:$B$305,A88,'13_검토이력'!$O$6:$O$305,1,'13_검토이력'!$Q$6:$Q$305,1))</x:f>
        <x:v>0</x:v>
      </x:c>
      <x:c r="Q88" s="36" t="str">
        <x:f>IF(OR(L88=0,P88=0),"",'01_설정'!$B$6-P88)</x:f>
      </x:c>
      <x:c r="R88" s="36" t="n">
        <x:f>IF(OR(L88=0,M88=0),0,SUMIFS('13_검토이력'!$S$6:$S$305,'13_검토이력'!$P$6:$P$305,M88))</x:f>
        <x:v>0</x:v>
      </x:c>
      <x:c r="S88" s="36" t="n">
        <x:f>IF(AND(L88=1,N88&gt;=1,N88&lt;=4),1,0)</x:f>
        <x:v>0</x:v>
      </x:c>
      <x:c r="T88" s="36" t="n">
        <x:f>IF(AND(S88=1,Q88&gt;'01_설정'!$B$10),1,0)</x:f>
        <x:v>0</x:v>
      </x:c>
      <x:c r="U88" s="36" t="n">
        <x:f>IF(AND(L88=1,N88=5),1,0)</x:f>
        <x:v>0</x:v>
      </x:c>
      <x:c r="V88" s="36" t="str">
        <x:f>IF(AND(L88=1,N88&gt;=6,N88&lt;=8,P88&gt;0),P88-F88,"")</x:f>
      </x:c>
      <x:c r="W88" s="36" t="str">
        <x:f>IF(OR(A88="",M88=0),"",IFERROR(INDEX('13_검토이력'!$L$6:$L$305,MATCH(M88,'13_검토이력'!$P$6:$P$305,0)),""))</x:f>
      </x:c>
      <x:c r="X88" s="36" t="n">
        <x:f>IF(A88="",0,IF(COUNTIF('12_신청'!$A$6:$A$105,A88)&gt;1,1,0))</x:f>
        <x:v>0</x:v>
      </x:c>
    </x:row>
    <x:row r="89" ht="20" customHeight="1">
      <x:c r="A89" s="22"/>
      <x:c r="B89" s="22"/>
      <x:c r="C89" s="26"/>
      <x:c r="D89" s="22"/>
      <x:c r="E89" s="22"/>
      <x:c r="F89" s="28"/>
      <x:c r="G89" s="28"/>
      <x:c r="H89" s="22"/>
      <x:c r="I89" s="22"/>
      <x:c r="J89" s="22"/>
      <x:c r="K89" s="36" t="n">
        <x:f>IF(A89="",0,IF('01_설정'!$B$8="all",1,IF('01_설정'!$B$8="industry_transition",IF(OR(E89="industry",E89="transition"),1,0),IF(E89='01_설정'!$B$8,1,0))))</x:f>
        <x:v>0</x:v>
      </x:c>
      <x:c r="L89" s="36" t="n">
        <x:f>IF(A89="",0,IF(AND(K89=1,F89&lt;='01_설정'!$B$6,G89&lt;='01_설정'!$B$7),1,0))</x:f>
        <x:v>0</x:v>
      </x:c>
      <x:c r="M89" s="36" t="n">
        <x:f>IF(A89="",0,_xlfn.MAXIFS('13_검토이력'!$P$6:$P$305,'13_검토이력'!$B$6:$B$305,A89,'13_검토이력'!$O$6:$O$305,1))</x:f>
        <x:v>0</x:v>
      </x:c>
      <x:c r="N89" s="36" t="n">
        <x:f>IF(A89="",9,IF(M89=0,9,SUMIFS('13_검토이력'!$N$6:$N$305,'13_검토이력'!$P$6:$P$305,M89)))</x:f>
        <x:v>9</x:v>
      </x:c>
      <x:c r="O89" s="36" t="str">
        <x:f>IF(A89="","",INDEX('17_코드북'!$B$6:$B$15,N89+1))</x:f>
      </x:c>
      <x:c r="P89" s="41" t="n">
        <x:f>IF(A89="",0,_xlfn.MAXIFS('13_검토이력'!$D$6:$D$305,'13_검토이력'!$B$6:$B$305,A89,'13_검토이력'!$O$6:$O$305,1,'13_검토이력'!$Q$6:$Q$305,1))</x:f>
        <x:v>0</x:v>
      </x:c>
      <x:c r="Q89" s="36" t="str">
        <x:f>IF(OR(L89=0,P89=0),"",'01_설정'!$B$6-P89)</x:f>
      </x:c>
      <x:c r="R89" s="36" t="n">
        <x:f>IF(OR(L89=0,M89=0),0,SUMIFS('13_검토이력'!$S$6:$S$305,'13_검토이력'!$P$6:$P$305,M89))</x:f>
        <x:v>0</x:v>
      </x:c>
      <x:c r="S89" s="36" t="n">
        <x:f>IF(AND(L89=1,N89&gt;=1,N89&lt;=4),1,0)</x:f>
        <x:v>0</x:v>
      </x:c>
      <x:c r="T89" s="36" t="n">
        <x:f>IF(AND(S89=1,Q89&gt;'01_설정'!$B$10),1,0)</x:f>
        <x:v>0</x:v>
      </x:c>
      <x:c r="U89" s="36" t="n">
        <x:f>IF(AND(L89=1,N89=5),1,0)</x:f>
        <x:v>0</x:v>
      </x:c>
      <x:c r="V89" s="36" t="str">
        <x:f>IF(AND(L89=1,N89&gt;=6,N89&lt;=8,P89&gt;0),P89-F89,"")</x:f>
      </x:c>
      <x:c r="W89" s="36" t="str">
        <x:f>IF(OR(A89="",M89=0),"",IFERROR(INDEX('13_검토이력'!$L$6:$L$305,MATCH(M89,'13_검토이력'!$P$6:$P$305,0)),""))</x:f>
      </x:c>
      <x:c r="X89" s="36" t="n">
        <x:f>IF(A89="",0,IF(COUNTIF('12_신청'!$A$6:$A$105,A89)&gt;1,1,0))</x:f>
        <x:v>0</x:v>
      </x:c>
    </x:row>
    <x:row r="90" ht="20" customHeight="1">
      <x:c r="A90" s="22"/>
      <x:c r="B90" s="22"/>
      <x:c r="C90" s="26"/>
      <x:c r="D90" s="22"/>
      <x:c r="E90" s="22"/>
      <x:c r="F90" s="28"/>
      <x:c r="G90" s="28"/>
      <x:c r="H90" s="22"/>
      <x:c r="I90" s="22"/>
      <x:c r="J90" s="22"/>
      <x:c r="K90" s="36" t="n">
        <x:f>IF(A90="",0,IF('01_설정'!$B$8="all",1,IF('01_설정'!$B$8="industry_transition",IF(OR(E90="industry",E90="transition"),1,0),IF(E90='01_설정'!$B$8,1,0))))</x:f>
        <x:v>0</x:v>
      </x:c>
      <x:c r="L90" s="36" t="n">
        <x:f>IF(A90="",0,IF(AND(K90=1,F90&lt;='01_설정'!$B$6,G90&lt;='01_설정'!$B$7),1,0))</x:f>
        <x:v>0</x:v>
      </x:c>
      <x:c r="M90" s="36" t="n">
        <x:f>IF(A90="",0,_xlfn.MAXIFS('13_검토이력'!$P$6:$P$305,'13_검토이력'!$B$6:$B$305,A90,'13_검토이력'!$O$6:$O$305,1))</x:f>
        <x:v>0</x:v>
      </x:c>
      <x:c r="N90" s="36" t="n">
        <x:f>IF(A90="",9,IF(M90=0,9,SUMIFS('13_검토이력'!$N$6:$N$305,'13_검토이력'!$P$6:$P$305,M90)))</x:f>
        <x:v>9</x:v>
      </x:c>
      <x:c r="O90" s="36" t="str">
        <x:f>IF(A90="","",INDEX('17_코드북'!$B$6:$B$15,N90+1))</x:f>
      </x:c>
      <x:c r="P90" s="41" t="n">
        <x:f>IF(A90="",0,_xlfn.MAXIFS('13_검토이력'!$D$6:$D$305,'13_검토이력'!$B$6:$B$305,A90,'13_검토이력'!$O$6:$O$305,1,'13_검토이력'!$Q$6:$Q$305,1))</x:f>
        <x:v>0</x:v>
      </x:c>
      <x:c r="Q90" s="36" t="str">
        <x:f>IF(OR(L90=0,P90=0),"",'01_설정'!$B$6-P90)</x:f>
      </x:c>
      <x:c r="R90" s="36" t="n">
        <x:f>IF(OR(L90=0,M90=0),0,SUMIFS('13_검토이력'!$S$6:$S$305,'13_검토이력'!$P$6:$P$305,M90))</x:f>
        <x:v>0</x:v>
      </x:c>
      <x:c r="S90" s="36" t="n">
        <x:f>IF(AND(L90=1,N90&gt;=1,N90&lt;=4),1,0)</x:f>
        <x:v>0</x:v>
      </x:c>
      <x:c r="T90" s="36" t="n">
        <x:f>IF(AND(S90=1,Q90&gt;'01_설정'!$B$10),1,0)</x:f>
        <x:v>0</x:v>
      </x:c>
      <x:c r="U90" s="36" t="n">
        <x:f>IF(AND(L90=1,N90=5),1,0)</x:f>
        <x:v>0</x:v>
      </x:c>
      <x:c r="V90" s="36" t="str">
        <x:f>IF(AND(L90=1,N90&gt;=6,N90&lt;=8,P90&gt;0),P90-F90,"")</x:f>
      </x:c>
      <x:c r="W90" s="36" t="str">
        <x:f>IF(OR(A90="",M90=0),"",IFERROR(INDEX('13_검토이력'!$L$6:$L$305,MATCH(M90,'13_검토이력'!$P$6:$P$305,0)),""))</x:f>
      </x:c>
      <x:c r="X90" s="36" t="n">
        <x:f>IF(A90="",0,IF(COUNTIF('12_신청'!$A$6:$A$105,A90)&gt;1,1,0))</x:f>
        <x:v>0</x:v>
      </x:c>
    </x:row>
    <x:row r="91" ht="20" customHeight="1">
      <x:c r="A91" s="22"/>
      <x:c r="B91" s="22"/>
      <x:c r="C91" s="26"/>
      <x:c r="D91" s="22"/>
      <x:c r="E91" s="22"/>
      <x:c r="F91" s="28"/>
      <x:c r="G91" s="28"/>
      <x:c r="H91" s="22"/>
      <x:c r="I91" s="22"/>
      <x:c r="J91" s="22"/>
      <x:c r="K91" s="36" t="n">
        <x:f>IF(A91="",0,IF('01_설정'!$B$8="all",1,IF('01_설정'!$B$8="industry_transition",IF(OR(E91="industry",E91="transition"),1,0),IF(E91='01_설정'!$B$8,1,0))))</x:f>
        <x:v>0</x:v>
      </x:c>
      <x:c r="L91" s="36" t="n">
        <x:f>IF(A91="",0,IF(AND(K91=1,F91&lt;='01_설정'!$B$6,G91&lt;='01_설정'!$B$7),1,0))</x:f>
        <x:v>0</x:v>
      </x:c>
      <x:c r="M91" s="36" t="n">
        <x:f>IF(A91="",0,_xlfn.MAXIFS('13_검토이력'!$P$6:$P$305,'13_검토이력'!$B$6:$B$305,A91,'13_검토이력'!$O$6:$O$305,1))</x:f>
        <x:v>0</x:v>
      </x:c>
      <x:c r="N91" s="36" t="n">
        <x:f>IF(A91="",9,IF(M91=0,9,SUMIFS('13_검토이력'!$N$6:$N$305,'13_검토이력'!$P$6:$P$305,M91)))</x:f>
        <x:v>9</x:v>
      </x:c>
      <x:c r="O91" s="36" t="str">
        <x:f>IF(A91="","",INDEX('17_코드북'!$B$6:$B$15,N91+1))</x:f>
      </x:c>
      <x:c r="P91" s="41" t="n">
        <x:f>IF(A91="",0,_xlfn.MAXIFS('13_검토이력'!$D$6:$D$305,'13_검토이력'!$B$6:$B$305,A91,'13_검토이력'!$O$6:$O$305,1,'13_검토이력'!$Q$6:$Q$305,1))</x:f>
        <x:v>0</x:v>
      </x:c>
      <x:c r="Q91" s="36" t="str">
        <x:f>IF(OR(L91=0,P91=0),"",'01_설정'!$B$6-P91)</x:f>
      </x:c>
      <x:c r="R91" s="36" t="n">
        <x:f>IF(OR(L91=0,M91=0),0,SUMIFS('13_검토이력'!$S$6:$S$305,'13_검토이력'!$P$6:$P$305,M91))</x:f>
        <x:v>0</x:v>
      </x:c>
      <x:c r="S91" s="36" t="n">
        <x:f>IF(AND(L91=1,N91&gt;=1,N91&lt;=4),1,0)</x:f>
        <x:v>0</x:v>
      </x:c>
      <x:c r="T91" s="36" t="n">
        <x:f>IF(AND(S91=1,Q91&gt;'01_설정'!$B$10),1,0)</x:f>
        <x:v>0</x:v>
      </x:c>
      <x:c r="U91" s="36" t="n">
        <x:f>IF(AND(L91=1,N91=5),1,0)</x:f>
        <x:v>0</x:v>
      </x:c>
      <x:c r="V91" s="36" t="str">
        <x:f>IF(AND(L91=1,N91&gt;=6,N91&lt;=8,P91&gt;0),P91-F91,"")</x:f>
      </x:c>
      <x:c r="W91" s="36" t="str">
        <x:f>IF(OR(A91="",M91=0),"",IFERROR(INDEX('13_검토이력'!$L$6:$L$305,MATCH(M91,'13_검토이력'!$P$6:$P$305,0)),""))</x:f>
      </x:c>
      <x:c r="X91" s="36" t="n">
        <x:f>IF(A91="",0,IF(COUNTIF('12_신청'!$A$6:$A$105,A91)&gt;1,1,0))</x:f>
        <x:v>0</x:v>
      </x:c>
    </x:row>
    <x:row r="92" ht="20" customHeight="1">
      <x:c r="A92" s="22"/>
      <x:c r="B92" s="22"/>
      <x:c r="C92" s="26"/>
      <x:c r="D92" s="22"/>
      <x:c r="E92" s="22"/>
      <x:c r="F92" s="28"/>
      <x:c r="G92" s="28"/>
      <x:c r="H92" s="22"/>
      <x:c r="I92" s="22"/>
      <x:c r="J92" s="22"/>
      <x:c r="K92" s="36" t="n">
        <x:f>IF(A92="",0,IF('01_설정'!$B$8="all",1,IF('01_설정'!$B$8="industry_transition",IF(OR(E92="industry",E92="transition"),1,0),IF(E92='01_설정'!$B$8,1,0))))</x:f>
        <x:v>0</x:v>
      </x:c>
      <x:c r="L92" s="36" t="n">
        <x:f>IF(A92="",0,IF(AND(K92=1,F92&lt;='01_설정'!$B$6,G92&lt;='01_설정'!$B$7),1,0))</x:f>
        <x:v>0</x:v>
      </x:c>
      <x:c r="M92" s="36" t="n">
        <x:f>IF(A92="",0,_xlfn.MAXIFS('13_검토이력'!$P$6:$P$305,'13_검토이력'!$B$6:$B$305,A92,'13_검토이력'!$O$6:$O$305,1))</x:f>
        <x:v>0</x:v>
      </x:c>
      <x:c r="N92" s="36" t="n">
        <x:f>IF(A92="",9,IF(M92=0,9,SUMIFS('13_검토이력'!$N$6:$N$305,'13_검토이력'!$P$6:$P$305,M92)))</x:f>
        <x:v>9</x:v>
      </x:c>
      <x:c r="O92" s="36" t="str">
        <x:f>IF(A92="","",INDEX('17_코드북'!$B$6:$B$15,N92+1))</x:f>
      </x:c>
      <x:c r="P92" s="41" t="n">
        <x:f>IF(A92="",0,_xlfn.MAXIFS('13_검토이력'!$D$6:$D$305,'13_검토이력'!$B$6:$B$305,A92,'13_검토이력'!$O$6:$O$305,1,'13_검토이력'!$Q$6:$Q$305,1))</x:f>
        <x:v>0</x:v>
      </x:c>
      <x:c r="Q92" s="36" t="str">
        <x:f>IF(OR(L92=0,P92=0),"",'01_설정'!$B$6-P92)</x:f>
      </x:c>
      <x:c r="R92" s="36" t="n">
        <x:f>IF(OR(L92=0,M92=0),0,SUMIFS('13_검토이력'!$S$6:$S$305,'13_검토이력'!$P$6:$P$305,M92))</x:f>
        <x:v>0</x:v>
      </x:c>
      <x:c r="S92" s="36" t="n">
        <x:f>IF(AND(L92=1,N92&gt;=1,N92&lt;=4),1,0)</x:f>
        <x:v>0</x:v>
      </x:c>
      <x:c r="T92" s="36" t="n">
        <x:f>IF(AND(S92=1,Q92&gt;'01_설정'!$B$10),1,0)</x:f>
        <x:v>0</x:v>
      </x:c>
      <x:c r="U92" s="36" t="n">
        <x:f>IF(AND(L92=1,N92=5),1,0)</x:f>
        <x:v>0</x:v>
      </x:c>
      <x:c r="V92" s="36" t="str">
        <x:f>IF(AND(L92=1,N92&gt;=6,N92&lt;=8,P92&gt;0),P92-F92,"")</x:f>
      </x:c>
      <x:c r="W92" s="36" t="str">
        <x:f>IF(OR(A92="",M92=0),"",IFERROR(INDEX('13_검토이력'!$L$6:$L$305,MATCH(M92,'13_검토이력'!$P$6:$P$305,0)),""))</x:f>
      </x:c>
      <x:c r="X92" s="36" t="n">
        <x:f>IF(A92="",0,IF(COUNTIF('12_신청'!$A$6:$A$105,A92)&gt;1,1,0))</x:f>
        <x:v>0</x:v>
      </x:c>
    </x:row>
    <x:row r="93" ht="20" customHeight="1">
      <x:c r="A93" s="22"/>
      <x:c r="B93" s="22"/>
      <x:c r="C93" s="26"/>
      <x:c r="D93" s="22"/>
      <x:c r="E93" s="22"/>
      <x:c r="F93" s="28"/>
      <x:c r="G93" s="28"/>
      <x:c r="H93" s="22"/>
      <x:c r="I93" s="22"/>
      <x:c r="J93" s="22"/>
      <x:c r="K93" s="36" t="n">
        <x:f>IF(A93="",0,IF('01_설정'!$B$8="all",1,IF('01_설정'!$B$8="industry_transition",IF(OR(E93="industry",E93="transition"),1,0),IF(E93='01_설정'!$B$8,1,0))))</x:f>
        <x:v>0</x:v>
      </x:c>
      <x:c r="L93" s="36" t="n">
        <x:f>IF(A93="",0,IF(AND(K93=1,F93&lt;='01_설정'!$B$6,G93&lt;='01_설정'!$B$7),1,0))</x:f>
        <x:v>0</x:v>
      </x:c>
      <x:c r="M93" s="36" t="n">
        <x:f>IF(A93="",0,_xlfn.MAXIFS('13_검토이력'!$P$6:$P$305,'13_검토이력'!$B$6:$B$305,A93,'13_검토이력'!$O$6:$O$305,1))</x:f>
        <x:v>0</x:v>
      </x:c>
      <x:c r="N93" s="36" t="n">
        <x:f>IF(A93="",9,IF(M93=0,9,SUMIFS('13_검토이력'!$N$6:$N$305,'13_검토이력'!$P$6:$P$305,M93)))</x:f>
        <x:v>9</x:v>
      </x:c>
      <x:c r="O93" s="36" t="str">
        <x:f>IF(A93="","",INDEX('17_코드북'!$B$6:$B$15,N93+1))</x:f>
      </x:c>
      <x:c r="P93" s="41" t="n">
        <x:f>IF(A93="",0,_xlfn.MAXIFS('13_검토이력'!$D$6:$D$305,'13_검토이력'!$B$6:$B$305,A93,'13_검토이력'!$O$6:$O$305,1,'13_검토이력'!$Q$6:$Q$305,1))</x:f>
        <x:v>0</x:v>
      </x:c>
      <x:c r="Q93" s="36" t="str">
        <x:f>IF(OR(L93=0,P93=0),"",'01_설정'!$B$6-P93)</x:f>
      </x:c>
      <x:c r="R93" s="36" t="n">
        <x:f>IF(OR(L93=0,M93=0),0,SUMIFS('13_검토이력'!$S$6:$S$305,'13_검토이력'!$P$6:$P$305,M93))</x:f>
        <x:v>0</x:v>
      </x:c>
      <x:c r="S93" s="36" t="n">
        <x:f>IF(AND(L93=1,N93&gt;=1,N93&lt;=4),1,0)</x:f>
        <x:v>0</x:v>
      </x:c>
      <x:c r="T93" s="36" t="n">
        <x:f>IF(AND(S93=1,Q93&gt;'01_설정'!$B$10),1,0)</x:f>
        <x:v>0</x:v>
      </x:c>
      <x:c r="U93" s="36" t="n">
        <x:f>IF(AND(L93=1,N93=5),1,0)</x:f>
        <x:v>0</x:v>
      </x:c>
      <x:c r="V93" s="36" t="str">
        <x:f>IF(AND(L93=1,N93&gt;=6,N93&lt;=8,P93&gt;0),P93-F93,"")</x:f>
      </x:c>
      <x:c r="W93" s="36" t="str">
        <x:f>IF(OR(A93="",M93=0),"",IFERROR(INDEX('13_검토이력'!$L$6:$L$305,MATCH(M93,'13_검토이력'!$P$6:$P$305,0)),""))</x:f>
      </x:c>
      <x:c r="X93" s="36" t="n">
        <x:f>IF(A93="",0,IF(COUNTIF('12_신청'!$A$6:$A$105,A93)&gt;1,1,0))</x:f>
        <x:v>0</x:v>
      </x:c>
    </x:row>
    <x:row r="94" ht="20" customHeight="1">
      <x:c r="A94" s="22"/>
      <x:c r="B94" s="22"/>
      <x:c r="C94" s="26"/>
      <x:c r="D94" s="22"/>
      <x:c r="E94" s="22"/>
      <x:c r="F94" s="28"/>
      <x:c r="G94" s="28"/>
      <x:c r="H94" s="22"/>
      <x:c r="I94" s="22"/>
      <x:c r="J94" s="22"/>
      <x:c r="K94" s="36" t="n">
        <x:f>IF(A94="",0,IF('01_설정'!$B$8="all",1,IF('01_설정'!$B$8="industry_transition",IF(OR(E94="industry",E94="transition"),1,0),IF(E94='01_설정'!$B$8,1,0))))</x:f>
        <x:v>0</x:v>
      </x:c>
      <x:c r="L94" s="36" t="n">
        <x:f>IF(A94="",0,IF(AND(K94=1,F94&lt;='01_설정'!$B$6,G94&lt;='01_설정'!$B$7),1,0))</x:f>
        <x:v>0</x:v>
      </x:c>
      <x:c r="M94" s="36" t="n">
        <x:f>IF(A94="",0,_xlfn.MAXIFS('13_검토이력'!$P$6:$P$305,'13_검토이력'!$B$6:$B$305,A94,'13_검토이력'!$O$6:$O$305,1))</x:f>
        <x:v>0</x:v>
      </x:c>
      <x:c r="N94" s="36" t="n">
        <x:f>IF(A94="",9,IF(M94=0,9,SUMIFS('13_검토이력'!$N$6:$N$305,'13_검토이력'!$P$6:$P$305,M94)))</x:f>
        <x:v>9</x:v>
      </x:c>
      <x:c r="O94" s="36" t="str">
        <x:f>IF(A94="","",INDEX('17_코드북'!$B$6:$B$15,N94+1))</x:f>
      </x:c>
      <x:c r="P94" s="41" t="n">
        <x:f>IF(A94="",0,_xlfn.MAXIFS('13_검토이력'!$D$6:$D$305,'13_검토이력'!$B$6:$B$305,A94,'13_검토이력'!$O$6:$O$305,1,'13_검토이력'!$Q$6:$Q$305,1))</x:f>
        <x:v>0</x:v>
      </x:c>
      <x:c r="Q94" s="36" t="str">
        <x:f>IF(OR(L94=0,P94=0),"",'01_설정'!$B$6-P94)</x:f>
      </x:c>
      <x:c r="R94" s="36" t="n">
        <x:f>IF(OR(L94=0,M94=0),0,SUMIFS('13_검토이력'!$S$6:$S$305,'13_검토이력'!$P$6:$P$305,M94))</x:f>
        <x:v>0</x:v>
      </x:c>
      <x:c r="S94" s="36" t="n">
        <x:f>IF(AND(L94=1,N94&gt;=1,N94&lt;=4),1,0)</x:f>
        <x:v>0</x:v>
      </x:c>
      <x:c r="T94" s="36" t="n">
        <x:f>IF(AND(S94=1,Q94&gt;'01_설정'!$B$10),1,0)</x:f>
        <x:v>0</x:v>
      </x:c>
      <x:c r="U94" s="36" t="n">
        <x:f>IF(AND(L94=1,N94=5),1,0)</x:f>
        <x:v>0</x:v>
      </x:c>
      <x:c r="V94" s="36" t="str">
        <x:f>IF(AND(L94=1,N94&gt;=6,N94&lt;=8,P94&gt;0),P94-F94,"")</x:f>
      </x:c>
      <x:c r="W94" s="36" t="str">
        <x:f>IF(OR(A94="",M94=0),"",IFERROR(INDEX('13_검토이력'!$L$6:$L$305,MATCH(M94,'13_검토이력'!$P$6:$P$305,0)),""))</x:f>
      </x:c>
      <x:c r="X94" s="36" t="n">
        <x:f>IF(A94="",0,IF(COUNTIF('12_신청'!$A$6:$A$105,A94)&gt;1,1,0))</x:f>
        <x:v>0</x:v>
      </x:c>
    </x:row>
    <x:row r="95" ht="20" customHeight="1">
      <x:c r="A95" s="22"/>
      <x:c r="B95" s="22"/>
      <x:c r="C95" s="26"/>
      <x:c r="D95" s="22"/>
      <x:c r="E95" s="22"/>
      <x:c r="F95" s="28"/>
      <x:c r="G95" s="28"/>
      <x:c r="H95" s="22"/>
      <x:c r="I95" s="22"/>
      <x:c r="J95" s="22"/>
      <x:c r="K95" s="36" t="n">
        <x:f>IF(A95="",0,IF('01_설정'!$B$8="all",1,IF('01_설정'!$B$8="industry_transition",IF(OR(E95="industry",E95="transition"),1,0),IF(E95='01_설정'!$B$8,1,0))))</x:f>
        <x:v>0</x:v>
      </x:c>
      <x:c r="L95" s="36" t="n">
        <x:f>IF(A95="",0,IF(AND(K95=1,F95&lt;='01_설정'!$B$6,G95&lt;='01_설정'!$B$7),1,0))</x:f>
        <x:v>0</x:v>
      </x:c>
      <x:c r="M95" s="36" t="n">
        <x:f>IF(A95="",0,_xlfn.MAXIFS('13_검토이력'!$P$6:$P$305,'13_검토이력'!$B$6:$B$305,A95,'13_검토이력'!$O$6:$O$305,1))</x:f>
        <x:v>0</x:v>
      </x:c>
      <x:c r="N95" s="36" t="n">
        <x:f>IF(A95="",9,IF(M95=0,9,SUMIFS('13_검토이력'!$N$6:$N$305,'13_검토이력'!$P$6:$P$305,M95)))</x:f>
        <x:v>9</x:v>
      </x:c>
      <x:c r="O95" s="36" t="str">
        <x:f>IF(A95="","",INDEX('17_코드북'!$B$6:$B$15,N95+1))</x:f>
      </x:c>
      <x:c r="P95" s="41" t="n">
        <x:f>IF(A95="",0,_xlfn.MAXIFS('13_검토이력'!$D$6:$D$305,'13_검토이력'!$B$6:$B$305,A95,'13_검토이력'!$O$6:$O$305,1,'13_검토이력'!$Q$6:$Q$305,1))</x:f>
        <x:v>0</x:v>
      </x:c>
      <x:c r="Q95" s="36" t="str">
        <x:f>IF(OR(L95=0,P95=0),"",'01_설정'!$B$6-P95)</x:f>
      </x:c>
      <x:c r="R95" s="36" t="n">
        <x:f>IF(OR(L95=0,M95=0),0,SUMIFS('13_검토이력'!$S$6:$S$305,'13_검토이력'!$P$6:$P$305,M95))</x:f>
        <x:v>0</x:v>
      </x:c>
      <x:c r="S95" s="36" t="n">
        <x:f>IF(AND(L95=1,N95&gt;=1,N95&lt;=4),1,0)</x:f>
        <x:v>0</x:v>
      </x:c>
      <x:c r="T95" s="36" t="n">
        <x:f>IF(AND(S95=1,Q95&gt;'01_설정'!$B$10),1,0)</x:f>
        <x:v>0</x:v>
      </x:c>
      <x:c r="U95" s="36" t="n">
        <x:f>IF(AND(L95=1,N95=5),1,0)</x:f>
        <x:v>0</x:v>
      </x:c>
      <x:c r="V95" s="36" t="str">
        <x:f>IF(AND(L95=1,N95&gt;=6,N95&lt;=8,P95&gt;0),P95-F95,"")</x:f>
      </x:c>
      <x:c r="W95" s="36" t="str">
        <x:f>IF(OR(A95="",M95=0),"",IFERROR(INDEX('13_검토이력'!$L$6:$L$305,MATCH(M95,'13_검토이력'!$P$6:$P$305,0)),""))</x:f>
      </x:c>
      <x:c r="X95" s="36" t="n">
        <x:f>IF(A95="",0,IF(COUNTIF('12_신청'!$A$6:$A$105,A95)&gt;1,1,0))</x:f>
        <x:v>0</x:v>
      </x:c>
    </x:row>
    <x:row r="96" ht="20" customHeight="1">
      <x:c r="A96" s="22"/>
      <x:c r="B96" s="22"/>
      <x:c r="C96" s="26"/>
      <x:c r="D96" s="22"/>
      <x:c r="E96" s="22"/>
      <x:c r="F96" s="28"/>
      <x:c r="G96" s="28"/>
      <x:c r="H96" s="22"/>
      <x:c r="I96" s="22"/>
      <x:c r="J96" s="22"/>
      <x:c r="K96" s="36" t="n">
        <x:f>IF(A96="",0,IF('01_설정'!$B$8="all",1,IF('01_설정'!$B$8="industry_transition",IF(OR(E96="industry",E96="transition"),1,0),IF(E96='01_설정'!$B$8,1,0))))</x:f>
        <x:v>0</x:v>
      </x:c>
      <x:c r="L96" s="36" t="n">
        <x:f>IF(A96="",0,IF(AND(K96=1,F96&lt;='01_설정'!$B$6,G96&lt;='01_설정'!$B$7),1,0))</x:f>
        <x:v>0</x:v>
      </x:c>
      <x:c r="M96" s="36" t="n">
        <x:f>IF(A96="",0,_xlfn.MAXIFS('13_검토이력'!$P$6:$P$305,'13_검토이력'!$B$6:$B$305,A96,'13_검토이력'!$O$6:$O$305,1))</x:f>
        <x:v>0</x:v>
      </x:c>
      <x:c r="N96" s="36" t="n">
        <x:f>IF(A96="",9,IF(M96=0,9,SUMIFS('13_검토이력'!$N$6:$N$305,'13_검토이력'!$P$6:$P$305,M96)))</x:f>
        <x:v>9</x:v>
      </x:c>
      <x:c r="O96" s="36" t="str">
        <x:f>IF(A96="","",INDEX('17_코드북'!$B$6:$B$15,N96+1))</x:f>
      </x:c>
      <x:c r="P96" s="41" t="n">
        <x:f>IF(A96="",0,_xlfn.MAXIFS('13_검토이력'!$D$6:$D$305,'13_검토이력'!$B$6:$B$305,A96,'13_검토이력'!$O$6:$O$305,1,'13_검토이력'!$Q$6:$Q$305,1))</x:f>
        <x:v>0</x:v>
      </x:c>
      <x:c r="Q96" s="36" t="str">
        <x:f>IF(OR(L96=0,P96=0),"",'01_설정'!$B$6-P96)</x:f>
      </x:c>
      <x:c r="R96" s="36" t="n">
        <x:f>IF(OR(L96=0,M96=0),0,SUMIFS('13_검토이력'!$S$6:$S$305,'13_검토이력'!$P$6:$P$305,M96))</x:f>
        <x:v>0</x:v>
      </x:c>
      <x:c r="S96" s="36" t="n">
        <x:f>IF(AND(L96=1,N96&gt;=1,N96&lt;=4),1,0)</x:f>
        <x:v>0</x:v>
      </x:c>
      <x:c r="T96" s="36" t="n">
        <x:f>IF(AND(S96=1,Q96&gt;'01_설정'!$B$10),1,0)</x:f>
        <x:v>0</x:v>
      </x:c>
      <x:c r="U96" s="36" t="n">
        <x:f>IF(AND(L96=1,N96=5),1,0)</x:f>
        <x:v>0</x:v>
      </x:c>
      <x:c r="V96" s="36" t="str">
        <x:f>IF(AND(L96=1,N96&gt;=6,N96&lt;=8,P96&gt;0),P96-F96,"")</x:f>
      </x:c>
      <x:c r="W96" s="36" t="str">
        <x:f>IF(OR(A96="",M96=0),"",IFERROR(INDEX('13_검토이력'!$L$6:$L$305,MATCH(M96,'13_검토이력'!$P$6:$P$305,0)),""))</x:f>
      </x:c>
      <x:c r="X96" s="36" t="n">
        <x:f>IF(A96="",0,IF(COUNTIF('12_신청'!$A$6:$A$105,A96)&gt;1,1,0))</x:f>
        <x:v>0</x:v>
      </x:c>
    </x:row>
    <x:row r="97" ht="20" customHeight="1">
      <x:c r="A97" s="22"/>
      <x:c r="B97" s="22"/>
      <x:c r="C97" s="26"/>
      <x:c r="D97" s="22"/>
      <x:c r="E97" s="22"/>
      <x:c r="F97" s="28"/>
      <x:c r="G97" s="28"/>
      <x:c r="H97" s="22"/>
      <x:c r="I97" s="22"/>
      <x:c r="J97" s="22"/>
      <x:c r="K97" s="36" t="n">
        <x:f>IF(A97="",0,IF('01_설정'!$B$8="all",1,IF('01_설정'!$B$8="industry_transition",IF(OR(E97="industry",E97="transition"),1,0),IF(E97='01_설정'!$B$8,1,0))))</x:f>
        <x:v>0</x:v>
      </x:c>
      <x:c r="L97" s="36" t="n">
        <x:f>IF(A97="",0,IF(AND(K97=1,F97&lt;='01_설정'!$B$6,G97&lt;='01_설정'!$B$7),1,0))</x:f>
        <x:v>0</x:v>
      </x:c>
      <x:c r="M97" s="36" t="n">
        <x:f>IF(A97="",0,_xlfn.MAXIFS('13_검토이력'!$P$6:$P$305,'13_검토이력'!$B$6:$B$305,A97,'13_검토이력'!$O$6:$O$305,1))</x:f>
        <x:v>0</x:v>
      </x:c>
      <x:c r="N97" s="36" t="n">
        <x:f>IF(A97="",9,IF(M97=0,9,SUMIFS('13_검토이력'!$N$6:$N$305,'13_검토이력'!$P$6:$P$305,M97)))</x:f>
        <x:v>9</x:v>
      </x:c>
      <x:c r="O97" s="36" t="str">
        <x:f>IF(A97="","",INDEX('17_코드북'!$B$6:$B$15,N97+1))</x:f>
      </x:c>
      <x:c r="P97" s="41" t="n">
        <x:f>IF(A97="",0,_xlfn.MAXIFS('13_검토이력'!$D$6:$D$305,'13_검토이력'!$B$6:$B$305,A97,'13_검토이력'!$O$6:$O$305,1,'13_검토이력'!$Q$6:$Q$305,1))</x:f>
        <x:v>0</x:v>
      </x:c>
      <x:c r="Q97" s="36" t="str">
        <x:f>IF(OR(L97=0,P97=0),"",'01_설정'!$B$6-P97)</x:f>
      </x:c>
      <x:c r="R97" s="36" t="n">
        <x:f>IF(OR(L97=0,M97=0),0,SUMIFS('13_검토이력'!$S$6:$S$305,'13_검토이력'!$P$6:$P$305,M97))</x:f>
        <x:v>0</x:v>
      </x:c>
      <x:c r="S97" s="36" t="n">
        <x:f>IF(AND(L97=1,N97&gt;=1,N97&lt;=4),1,0)</x:f>
        <x:v>0</x:v>
      </x:c>
      <x:c r="T97" s="36" t="n">
        <x:f>IF(AND(S97=1,Q97&gt;'01_설정'!$B$10),1,0)</x:f>
        <x:v>0</x:v>
      </x:c>
      <x:c r="U97" s="36" t="n">
        <x:f>IF(AND(L97=1,N97=5),1,0)</x:f>
        <x:v>0</x:v>
      </x:c>
      <x:c r="V97" s="36" t="str">
        <x:f>IF(AND(L97=1,N97&gt;=6,N97&lt;=8,P97&gt;0),P97-F97,"")</x:f>
      </x:c>
      <x:c r="W97" s="36" t="str">
        <x:f>IF(OR(A97="",M97=0),"",IFERROR(INDEX('13_검토이력'!$L$6:$L$305,MATCH(M97,'13_검토이력'!$P$6:$P$305,0)),""))</x:f>
      </x:c>
      <x:c r="X97" s="36" t="n">
        <x:f>IF(A97="",0,IF(COUNTIF('12_신청'!$A$6:$A$105,A97)&gt;1,1,0))</x:f>
        <x:v>0</x:v>
      </x:c>
    </x:row>
    <x:row r="98" ht="20" customHeight="1">
      <x:c r="A98" s="22"/>
      <x:c r="B98" s="22"/>
      <x:c r="C98" s="26"/>
      <x:c r="D98" s="22"/>
      <x:c r="E98" s="22"/>
      <x:c r="F98" s="28"/>
      <x:c r="G98" s="28"/>
      <x:c r="H98" s="22"/>
      <x:c r="I98" s="22"/>
      <x:c r="J98" s="22"/>
      <x:c r="K98" s="36" t="n">
        <x:f>IF(A98="",0,IF('01_설정'!$B$8="all",1,IF('01_설정'!$B$8="industry_transition",IF(OR(E98="industry",E98="transition"),1,0),IF(E98='01_설정'!$B$8,1,0))))</x:f>
        <x:v>0</x:v>
      </x:c>
      <x:c r="L98" s="36" t="n">
        <x:f>IF(A98="",0,IF(AND(K98=1,F98&lt;='01_설정'!$B$6,G98&lt;='01_설정'!$B$7),1,0))</x:f>
        <x:v>0</x:v>
      </x:c>
      <x:c r="M98" s="36" t="n">
        <x:f>IF(A98="",0,_xlfn.MAXIFS('13_검토이력'!$P$6:$P$305,'13_검토이력'!$B$6:$B$305,A98,'13_검토이력'!$O$6:$O$305,1))</x:f>
        <x:v>0</x:v>
      </x:c>
      <x:c r="N98" s="36" t="n">
        <x:f>IF(A98="",9,IF(M98=0,9,SUMIFS('13_검토이력'!$N$6:$N$305,'13_검토이력'!$P$6:$P$305,M98)))</x:f>
        <x:v>9</x:v>
      </x:c>
      <x:c r="O98" s="36" t="str">
        <x:f>IF(A98="","",INDEX('17_코드북'!$B$6:$B$15,N98+1))</x:f>
      </x:c>
      <x:c r="P98" s="41" t="n">
        <x:f>IF(A98="",0,_xlfn.MAXIFS('13_검토이력'!$D$6:$D$305,'13_검토이력'!$B$6:$B$305,A98,'13_검토이력'!$O$6:$O$305,1,'13_검토이력'!$Q$6:$Q$305,1))</x:f>
        <x:v>0</x:v>
      </x:c>
      <x:c r="Q98" s="36" t="str">
        <x:f>IF(OR(L98=0,P98=0),"",'01_설정'!$B$6-P98)</x:f>
      </x:c>
      <x:c r="R98" s="36" t="n">
        <x:f>IF(OR(L98=0,M98=0),0,SUMIFS('13_검토이력'!$S$6:$S$305,'13_검토이력'!$P$6:$P$305,M98))</x:f>
        <x:v>0</x:v>
      </x:c>
      <x:c r="S98" s="36" t="n">
        <x:f>IF(AND(L98=1,N98&gt;=1,N98&lt;=4),1,0)</x:f>
        <x:v>0</x:v>
      </x:c>
      <x:c r="T98" s="36" t="n">
        <x:f>IF(AND(S98=1,Q98&gt;'01_설정'!$B$10),1,0)</x:f>
        <x:v>0</x:v>
      </x:c>
      <x:c r="U98" s="36" t="n">
        <x:f>IF(AND(L98=1,N98=5),1,0)</x:f>
        <x:v>0</x:v>
      </x:c>
      <x:c r="V98" s="36" t="str">
        <x:f>IF(AND(L98=1,N98&gt;=6,N98&lt;=8,P98&gt;0),P98-F98,"")</x:f>
      </x:c>
      <x:c r="W98" s="36" t="str">
        <x:f>IF(OR(A98="",M98=0),"",IFERROR(INDEX('13_검토이력'!$L$6:$L$305,MATCH(M98,'13_검토이력'!$P$6:$P$305,0)),""))</x:f>
      </x:c>
      <x:c r="X98" s="36" t="n">
        <x:f>IF(A98="",0,IF(COUNTIF('12_신청'!$A$6:$A$105,A98)&gt;1,1,0))</x:f>
        <x:v>0</x:v>
      </x:c>
    </x:row>
    <x:row r="99" ht="20" customHeight="1">
      <x:c r="A99" s="22"/>
      <x:c r="B99" s="22"/>
      <x:c r="C99" s="26"/>
      <x:c r="D99" s="22"/>
      <x:c r="E99" s="22"/>
      <x:c r="F99" s="28"/>
      <x:c r="G99" s="28"/>
      <x:c r="H99" s="22"/>
      <x:c r="I99" s="22"/>
      <x:c r="J99" s="22"/>
      <x:c r="K99" s="36" t="n">
        <x:f>IF(A99="",0,IF('01_설정'!$B$8="all",1,IF('01_설정'!$B$8="industry_transition",IF(OR(E99="industry",E99="transition"),1,0),IF(E99='01_설정'!$B$8,1,0))))</x:f>
        <x:v>0</x:v>
      </x:c>
      <x:c r="L99" s="36" t="n">
        <x:f>IF(A99="",0,IF(AND(K99=1,F99&lt;='01_설정'!$B$6,G99&lt;='01_설정'!$B$7),1,0))</x:f>
        <x:v>0</x:v>
      </x:c>
      <x:c r="M99" s="36" t="n">
        <x:f>IF(A99="",0,_xlfn.MAXIFS('13_검토이력'!$P$6:$P$305,'13_검토이력'!$B$6:$B$305,A99,'13_검토이력'!$O$6:$O$305,1))</x:f>
        <x:v>0</x:v>
      </x:c>
      <x:c r="N99" s="36" t="n">
        <x:f>IF(A99="",9,IF(M99=0,9,SUMIFS('13_검토이력'!$N$6:$N$305,'13_검토이력'!$P$6:$P$305,M99)))</x:f>
        <x:v>9</x:v>
      </x:c>
      <x:c r="O99" s="36" t="str">
        <x:f>IF(A99="","",INDEX('17_코드북'!$B$6:$B$15,N99+1))</x:f>
      </x:c>
      <x:c r="P99" s="41" t="n">
        <x:f>IF(A99="",0,_xlfn.MAXIFS('13_검토이력'!$D$6:$D$305,'13_검토이력'!$B$6:$B$305,A99,'13_검토이력'!$O$6:$O$305,1,'13_검토이력'!$Q$6:$Q$305,1))</x:f>
        <x:v>0</x:v>
      </x:c>
      <x:c r="Q99" s="36" t="str">
        <x:f>IF(OR(L99=0,P99=0),"",'01_설정'!$B$6-P99)</x:f>
      </x:c>
      <x:c r="R99" s="36" t="n">
        <x:f>IF(OR(L99=0,M99=0),0,SUMIFS('13_검토이력'!$S$6:$S$305,'13_검토이력'!$P$6:$P$305,M99))</x:f>
        <x:v>0</x:v>
      </x:c>
      <x:c r="S99" s="36" t="n">
        <x:f>IF(AND(L99=1,N99&gt;=1,N99&lt;=4),1,0)</x:f>
        <x:v>0</x:v>
      </x:c>
      <x:c r="T99" s="36" t="n">
        <x:f>IF(AND(S99=1,Q99&gt;'01_설정'!$B$10),1,0)</x:f>
        <x:v>0</x:v>
      </x:c>
      <x:c r="U99" s="36" t="n">
        <x:f>IF(AND(L99=1,N99=5),1,0)</x:f>
        <x:v>0</x:v>
      </x:c>
      <x:c r="V99" s="36" t="str">
        <x:f>IF(AND(L99=1,N99&gt;=6,N99&lt;=8,P99&gt;0),P99-F99,"")</x:f>
      </x:c>
      <x:c r="W99" s="36" t="str">
        <x:f>IF(OR(A99="",M99=0),"",IFERROR(INDEX('13_검토이력'!$L$6:$L$305,MATCH(M99,'13_검토이력'!$P$6:$P$305,0)),""))</x:f>
      </x:c>
      <x:c r="X99" s="36" t="n">
        <x:f>IF(A99="",0,IF(COUNTIF('12_신청'!$A$6:$A$105,A99)&gt;1,1,0))</x:f>
        <x:v>0</x:v>
      </x:c>
    </x:row>
    <x:row r="100" ht="20" customHeight="1">
      <x:c r="A100" s="22"/>
      <x:c r="B100" s="22"/>
      <x:c r="C100" s="26"/>
      <x:c r="D100" s="22"/>
      <x:c r="E100" s="22"/>
      <x:c r="F100" s="28"/>
      <x:c r="G100" s="28"/>
      <x:c r="H100" s="22"/>
      <x:c r="I100" s="22"/>
      <x:c r="J100" s="22"/>
      <x:c r="K100" s="36" t="n">
        <x:f>IF(A100="",0,IF('01_설정'!$B$8="all",1,IF('01_설정'!$B$8="industry_transition",IF(OR(E100="industry",E100="transition"),1,0),IF(E100='01_설정'!$B$8,1,0))))</x:f>
        <x:v>0</x:v>
      </x:c>
      <x:c r="L100" s="36" t="n">
        <x:f>IF(A100="",0,IF(AND(K100=1,F100&lt;='01_설정'!$B$6,G100&lt;='01_설정'!$B$7),1,0))</x:f>
        <x:v>0</x:v>
      </x:c>
      <x:c r="M100" s="36" t="n">
        <x:f>IF(A100="",0,_xlfn.MAXIFS('13_검토이력'!$P$6:$P$305,'13_검토이력'!$B$6:$B$305,A100,'13_검토이력'!$O$6:$O$305,1))</x:f>
        <x:v>0</x:v>
      </x:c>
      <x:c r="N100" s="36" t="n">
        <x:f>IF(A100="",9,IF(M100=0,9,SUMIFS('13_검토이력'!$N$6:$N$305,'13_검토이력'!$P$6:$P$305,M100)))</x:f>
        <x:v>9</x:v>
      </x:c>
      <x:c r="O100" s="36" t="str">
        <x:f>IF(A100="","",INDEX('17_코드북'!$B$6:$B$15,N100+1))</x:f>
      </x:c>
      <x:c r="P100" s="41" t="n">
        <x:f>IF(A100="",0,_xlfn.MAXIFS('13_검토이력'!$D$6:$D$305,'13_검토이력'!$B$6:$B$305,A100,'13_검토이력'!$O$6:$O$305,1,'13_검토이력'!$Q$6:$Q$305,1))</x:f>
        <x:v>0</x:v>
      </x:c>
      <x:c r="Q100" s="36" t="str">
        <x:f>IF(OR(L100=0,P100=0),"",'01_설정'!$B$6-P100)</x:f>
      </x:c>
      <x:c r="R100" s="36" t="n">
        <x:f>IF(OR(L100=0,M100=0),0,SUMIFS('13_검토이력'!$S$6:$S$305,'13_검토이력'!$P$6:$P$305,M100))</x:f>
        <x:v>0</x:v>
      </x:c>
      <x:c r="S100" s="36" t="n">
        <x:f>IF(AND(L100=1,N100&gt;=1,N100&lt;=4),1,0)</x:f>
        <x:v>0</x:v>
      </x:c>
      <x:c r="T100" s="36" t="n">
        <x:f>IF(AND(S100=1,Q100&gt;'01_설정'!$B$10),1,0)</x:f>
        <x:v>0</x:v>
      </x:c>
      <x:c r="U100" s="36" t="n">
        <x:f>IF(AND(L100=1,N100=5),1,0)</x:f>
        <x:v>0</x:v>
      </x:c>
      <x:c r="V100" s="36" t="str">
        <x:f>IF(AND(L100=1,N100&gt;=6,N100&lt;=8,P100&gt;0),P100-F100,"")</x:f>
      </x:c>
      <x:c r="W100" s="36" t="str">
        <x:f>IF(OR(A100="",M100=0),"",IFERROR(INDEX('13_검토이력'!$L$6:$L$305,MATCH(M100,'13_검토이력'!$P$6:$P$305,0)),""))</x:f>
      </x:c>
      <x:c r="X100" s="36" t="n">
        <x:f>IF(A100="",0,IF(COUNTIF('12_신청'!$A$6:$A$105,A100)&gt;1,1,0))</x:f>
        <x:v>0</x:v>
      </x:c>
    </x:row>
    <x:row r="101" ht="20" customHeight="1">
      <x:c r="A101" s="22"/>
      <x:c r="B101" s="22"/>
      <x:c r="C101" s="26"/>
      <x:c r="D101" s="22"/>
      <x:c r="E101" s="22"/>
      <x:c r="F101" s="28"/>
      <x:c r="G101" s="28"/>
      <x:c r="H101" s="22"/>
      <x:c r="I101" s="22"/>
      <x:c r="J101" s="22"/>
      <x:c r="K101" s="36" t="n">
        <x:f>IF(A101="",0,IF('01_설정'!$B$8="all",1,IF('01_설정'!$B$8="industry_transition",IF(OR(E101="industry",E101="transition"),1,0),IF(E101='01_설정'!$B$8,1,0))))</x:f>
        <x:v>0</x:v>
      </x:c>
      <x:c r="L101" s="36" t="n">
        <x:f>IF(A101="",0,IF(AND(K101=1,F101&lt;='01_설정'!$B$6,G101&lt;='01_설정'!$B$7),1,0))</x:f>
        <x:v>0</x:v>
      </x:c>
      <x:c r="M101" s="36" t="n">
        <x:f>IF(A101="",0,_xlfn.MAXIFS('13_검토이력'!$P$6:$P$305,'13_검토이력'!$B$6:$B$305,A101,'13_검토이력'!$O$6:$O$305,1))</x:f>
        <x:v>0</x:v>
      </x:c>
      <x:c r="N101" s="36" t="n">
        <x:f>IF(A101="",9,IF(M101=0,9,SUMIFS('13_검토이력'!$N$6:$N$305,'13_검토이력'!$P$6:$P$305,M101)))</x:f>
        <x:v>9</x:v>
      </x:c>
      <x:c r="O101" s="36" t="str">
        <x:f>IF(A101="","",INDEX('17_코드북'!$B$6:$B$15,N101+1))</x:f>
      </x:c>
      <x:c r="P101" s="41" t="n">
        <x:f>IF(A101="",0,_xlfn.MAXIFS('13_검토이력'!$D$6:$D$305,'13_검토이력'!$B$6:$B$305,A101,'13_검토이력'!$O$6:$O$305,1,'13_검토이력'!$Q$6:$Q$305,1))</x:f>
        <x:v>0</x:v>
      </x:c>
      <x:c r="Q101" s="36" t="str">
        <x:f>IF(OR(L101=0,P101=0),"",'01_설정'!$B$6-P101)</x:f>
      </x:c>
      <x:c r="R101" s="36" t="n">
        <x:f>IF(OR(L101=0,M101=0),0,SUMIFS('13_검토이력'!$S$6:$S$305,'13_검토이력'!$P$6:$P$305,M101))</x:f>
        <x:v>0</x:v>
      </x:c>
      <x:c r="S101" s="36" t="n">
        <x:f>IF(AND(L101=1,N101&gt;=1,N101&lt;=4),1,0)</x:f>
        <x:v>0</x:v>
      </x:c>
      <x:c r="T101" s="36" t="n">
        <x:f>IF(AND(S101=1,Q101&gt;'01_설정'!$B$10),1,0)</x:f>
        <x:v>0</x:v>
      </x:c>
      <x:c r="U101" s="36" t="n">
        <x:f>IF(AND(L101=1,N101=5),1,0)</x:f>
        <x:v>0</x:v>
      </x:c>
      <x:c r="V101" s="36" t="str">
        <x:f>IF(AND(L101=1,N101&gt;=6,N101&lt;=8,P101&gt;0),P101-F101,"")</x:f>
      </x:c>
      <x:c r="W101" s="36" t="str">
        <x:f>IF(OR(A101="",M101=0),"",IFERROR(INDEX('13_검토이력'!$L$6:$L$305,MATCH(M101,'13_검토이력'!$P$6:$P$305,0)),""))</x:f>
      </x:c>
      <x:c r="X101" s="36" t="n">
        <x:f>IF(A101="",0,IF(COUNTIF('12_신청'!$A$6:$A$105,A101)&gt;1,1,0))</x:f>
        <x:v>0</x:v>
      </x:c>
    </x:row>
    <x:row r="102" ht="20" customHeight="1">
      <x:c r="A102" s="22"/>
      <x:c r="B102" s="22"/>
      <x:c r="C102" s="26"/>
      <x:c r="D102" s="22"/>
      <x:c r="E102" s="22"/>
      <x:c r="F102" s="28"/>
      <x:c r="G102" s="28"/>
      <x:c r="H102" s="22"/>
      <x:c r="I102" s="22"/>
      <x:c r="J102" s="22"/>
      <x:c r="K102" s="36" t="n">
        <x:f>IF(A102="",0,IF('01_설정'!$B$8="all",1,IF('01_설정'!$B$8="industry_transition",IF(OR(E102="industry",E102="transition"),1,0),IF(E102='01_설정'!$B$8,1,0))))</x:f>
        <x:v>0</x:v>
      </x:c>
      <x:c r="L102" s="36" t="n">
        <x:f>IF(A102="",0,IF(AND(K102=1,F102&lt;='01_설정'!$B$6,G102&lt;='01_설정'!$B$7),1,0))</x:f>
        <x:v>0</x:v>
      </x:c>
      <x:c r="M102" s="36" t="n">
        <x:f>IF(A102="",0,_xlfn.MAXIFS('13_검토이력'!$P$6:$P$305,'13_검토이력'!$B$6:$B$305,A102,'13_검토이력'!$O$6:$O$305,1))</x:f>
        <x:v>0</x:v>
      </x:c>
      <x:c r="N102" s="36" t="n">
        <x:f>IF(A102="",9,IF(M102=0,9,SUMIFS('13_검토이력'!$N$6:$N$305,'13_검토이력'!$P$6:$P$305,M102)))</x:f>
        <x:v>9</x:v>
      </x:c>
      <x:c r="O102" s="36" t="str">
        <x:f>IF(A102="","",INDEX('17_코드북'!$B$6:$B$15,N102+1))</x:f>
      </x:c>
      <x:c r="P102" s="41" t="n">
        <x:f>IF(A102="",0,_xlfn.MAXIFS('13_검토이력'!$D$6:$D$305,'13_검토이력'!$B$6:$B$305,A102,'13_검토이력'!$O$6:$O$305,1,'13_검토이력'!$Q$6:$Q$305,1))</x:f>
        <x:v>0</x:v>
      </x:c>
      <x:c r="Q102" s="36" t="str">
        <x:f>IF(OR(L102=0,P102=0),"",'01_설정'!$B$6-P102)</x:f>
      </x:c>
      <x:c r="R102" s="36" t="n">
        <x:f>IF(OR(L102=0,M102=0),0,SUMIFS('13_검토이력'!$S$6:$S$305,'13_검토이력'!$P$6:$P$305,M102))</x:f>
        <x:v>0</x:v>
      </x:c>
      <x:c r="S102" s="36" t="n">
        <x:f>IF(AND(L102=1,N102&gt;=1,N102&lt;=4),1,0)</x:f>
        <x:v>0</x:v>
      </x:c>
      <x:c r="T102" s="36" t="n">
        <x:f>IF(AND(S102=1,Q102&gt;'01_설정'!$B$10),1,0)</x:f>
        <x:v>0</x:v>
      </x:c>
      <x:c r="U102" s="36" t="n">
        <x:f>IF(AND(L102=1,N102=5),1,0)</x:f>
        <x:v>0</x:v>
      </x:c>
      <x:c r="V102" s="36" t="str">
        <x:f>IF(AND(L102=1,N102&gt;=6,N102&lt;=8,P102&gt;0),P102-F102,"")</x:f>
      </x:c>
      <x:c r="W102" s="36" t="str">
        <x:f>IF(OR(A102="",M102=0),"",IFERROR(INDEX('13_검토이력'!$L$6:$L$305,MATCH(M102,'13_검토이력'!$P$6:$P$305,0)),""))</x:f>
      </x:c>
      <x:c r="X102" s="36" t="n">
        <x:f>IF(A102="",0,IF(COUNTIF('12_신청'!$A$6:$A$105,A102)&gt;1,1,0))</x:f>
        <x:v>0</x:v>
      </x:c>
    </x:row>
    <x:row r="103" ht="20" customHeight="1">
      <x:c r="A103" s="22"/>
      <x:c r="B103" s="22"/>
      <x:c r="C103" s="26"/>
      <x:c r="D103" s="22"/>
      <x:c r="E103" s="22"/>
      <x:c r="F103" s="28"/>
      <x:c r="G103" s="28"/>
      <x:c r="H103" s="22"/>
      <x:c r="I103" s="22"/>
      <x:c r="J103" s="22"/>
      <x:c r="K103" s="36" t="n">
        <x:f>IF(A103="",0,IF('01_설정'!$B$8="all",1,IF('01_설정'!$B$8="industry_transition",IF(OR(E103="industry",E103="transition"),1,0),IF(E103='01_설정'!$B$8,1,0))))</x:f>
        <x:v>0</x:v>
      </x:c>
      <x:c r="L103" s="36" t="n">
        <x:f>IF(A103="",0,IF(AND(K103=1,F103&lt;='01_설정'!$B$6,G103&lt;='01_설정'!$B$7),1,0))</x:f>
        <x:v>0</x:v>
      </x:c>
      <x:c r="M103" s="36" t="n">
        <x:f>IF(A103="",0,_xlfn.MAXIFS('13_검토이력'!$P$6:$P$305,'13_검토이력'!$B$6:$B$305,A103,'13_검토이력'!$O$6:$O$305,1))</x:f>
        <x:v>0</x:v>
      </x:c>
      <x:c r="N103" s="36" t="n">
        <x:f>IF(A103="",9,IF(M103=0,9,SUMIFS('13_검토이력'!$N$6:$N$305,'13_검토이력'!$P$6:$P$305,M103)))</x:f>
        <x:v>9</x:v>
      </x:c>
      <x:c r="O103" s="36" t="str">
        <x:f>IF(A103="","",INDEX('17_코드북'!$B$6:$B$15,N103+1))</x:f>
      </x:c>
      <x:c r="P103" s="41" t="n">
        <x:f>IF(A103="",0,_xlfn.MAXIFS('13_검토이력'!$D$6:$D$305,'13_검토이력'!$B$6:$B$305,A103,'13_검토이력'!$O$6:$O$305,1,'13_검토이력'!$Q$6:$Q$305,1))</x:f>
        <x:v>0</x:v>
      </x:c>
      <x:c r="Q103" s="36" t="str">
        <x:f>IF(OR(L103=0,P103=0),"",'01_설정'!$B$6-P103)</x:f>
      </x:c>
      <x:c r="R103" s="36" t="n">
        <x:f>IF(OR(L103=0,M103=0),0,SUMIFS('13_검토이력'!$S$6:$S$305,'13_검토이력'!$P$6:$P$305,M103))</x:f>
        <x:v>0</x:v>
      </x:c>
      <x:c r="S103" s="36" t="n">
        <x:f>IF(AND(L103=1,N103&gt;=1,N103&lt;=4),1,0)</x:f>
        <x:v>0</x:v>
      </x:c>
      <x:c r="T103" s="36" t="n">
        <x:f>IF(AND(S103=1,Q103&gt;'01_설정'!$B$10),1,0)</x:f>
        <x:v>0</x:v>
      </x:c>
      <x:c r="U103" s="36" t="n">
        <x:f>IF(AND(L103=1,N103=5),1,0)</x:f>
        <x:v>0</x:v>
      </x:c>
      <x:c r="V103" s="36" t="str">
        <x:f>IF(AND(L103=1,N103&gt;=6,N103&lt;=8,P103&gt;0),P103-F103,"")</x:f>
      </x:c>
      <x:c r="W103" s="36" t="str">
        <x:f>IF(OR(A103="",M103=0),"",IFERROR(INDEX('13_검토이력'!$L$6:$L$305,MATCH(M103,'13_검토이력'!$P$6:$P$305,0)),""))</x:f>
      </x:c>
      <x:c r="X103" s="36" t="n">
        <x:f>IF(A103="",0,IF(COUNTIF('12_신청'!$A$6:$A$105,A103)&gt;1,1,0))</x:f>
        <x:v>0</x:v>
      </x:c>
    </x:row>
    <x:row r="104" ht="20" customHeight="1">
      <x:c r="A104" s="22"/>
      <x:c r="B104" s="22"/>
      <x:c r="C104" s="26"/>
      <x:c r="D104" s="22"/>
      <x:c r="E104" s="22"/>
      <x:c r="F104" s="28"/>
      <x:c r="G104" s="28"/>
      <x:c r="H104" s="22"/>
      <x:c r="I104" s="22"/>
      <x:c r="J104" s="22"/>
      <x:c r="K104" s="36" t="n">
        <x:f>IF(A104="",0,IF('01_설정'!$B$8="all",1,IF('01_설정'!$B$8="industry_transition",IF(OR(E104="industry",E104="transition"),1,0),IF(E104='01_설정'!$B$8,1,0))))</x:f>
        <x:v>0</x:v>
      </x:c>
      <x:c r="L104" s="36" t="n">
        <x:f>IF(A104="",0,IF(AND(K104=1,F104&lt;='01_설정'!$B$6,G104&lt;='01_설정'!$B$7),1,0))</x:f>
        <x:v>0</x:v>
      </x:c>
      <x:c r="M104" s="36" t="n">
        <x:f>IF(A104="",0,_xlfn.MAXIFS('13_검토이력'!$P$6:$P$305,'13_검토이력'!$B$6:$B$305,A104,'13_검토이력'!$O$6:$O$305,1))</x:f>
        <x:v>0</x:v>
      </x:c>
      <x:c r="N104" s="36" t="n">
        <x:f>IF(A104="",9,IF(M104=0,9,SUMIFS('13_검토이력'!$N$6:$N$305,'13_검토이력'!$P$6:$P$305,M104)))</x:f>
        <x:v>9</x:v>
      </x:c>
      <x:c r="O104" s="36" t="str">
        <x:f>IF(A104="","",INDEX('17_코드북'!$B$6:$B$15,N104+1))</x:f>
      </x:c>
      <x:c r="P104" s="41" t="n">
        <x:f>IF(A104="",0,_xlfn.MAXIFS('13_검토이력'!$D$6:$D$305,'13_검토이력'!$B$6:$B$305,A104,'13_검토이력'!$O$6:$O$305,1,'13_검토이력'!$Q$6:$Q$305,1))</x:f>
        <x:v>0</x:v>
      </x:c>
      <x:c r="Q104" s="36" t="str">
        <x:f>IF(OR(L104=0,P104=0),"",'01_설정'!$B$6-P104)</x:f>
      </x:c>
      <x:c r="R104" s="36" t="n">
        <x:f>IF(OR(L104=0,M104=0),0,SUMIFS('13_검토이력'!$S$6:$S$305,'13_검토이력'!$P$6:$P$305,M104))</x:f>
        <x:v>0</x:v>
      </x:c>
      <x:c r="S104" s="36" t="n">
        <x:f>IF(AND(L104=1,N104&gt;=1,N104&lt;=4),1,0)</x:f>
        <x:v>0</x:v>
      </x:c>
      <x:c r="T104" s="36" t="n">
        <x:f>IF(AND(S104=1,Q104&gt;'01_설정'!$B$10),1,0)</x:f>
        <x:v>0</x:v>
      </x:c>
      <x:c r="U104" s="36" t="n">
        <x:f>IF(AND(L104=1,N104=5),1,0)</x:f>
        <x:v>0</x:v>
      </x:c>
      <x:c r="V104" s="36" t="str">
        <x:f>IF(AND(L104=1,N104&gt;=6,N104&lt;=8,P104&gt;0),P104-F104,"")</x:f>
      </x:c>
      <x:c r="W104" s="36" t="str">
        <x:f>IF(OR(A104="",M104=0),"",IFERROR(INDEX('13_검토이력'!$L$6:$L$305,MATCH(M104,'13_검토이력'!$P$6:$P$305,0)),""))</x:f>
      </x:c>
      <x:c r="X104" s="36" t="n">
        <x:f>IF(A104="",0,IF(COUNTIF('12_신청'!$A$6:$A$105,A104)&gt;1,1,0))</x:f>
        <x:v>0</x:v>
      </x:c>
    </x:row>
    <x:row r="105" ht="20" customHeight="1">
      <x:c r="A105" s="22"/>
      <x:c r="B105" s="22"/>
      <x:c r="C105" s="26"/>
      <x:c r="D105" s="22"/>
      <x:c r="E105" s="22"/>
      <x:c r="F105" s="28"/>
      <x:c r="G105" s="28"/>
      <x:c r="H105" s="22"/>
      <x:c r="I105" s="22"/>
      <x:c r="J105" s="22"/>
      <x:c r="K105" s="36" t="n">
        <x:f>IF(A105="",0,IF('01_설정'!$B$8="all",1,IF('01_설정'!$B$8="industry_transition",IF(OR(E105="industry",E105="transition"),1,0),IF(E105='01_설정'!$B$8,1,0))))</x:f>
        <x:v>0</x:v>
      </x:c>
      <x:c r="L105" s="36" t="n">
        <x:f>IF(A105="",0,IF(AND(K105=1,F105&lt;='01_설정'!$B$6,G105&lt;='01_설정'!$B$7),1,0))</x:f>
        <x:v>0</x:v>
      </x:c>
      <x:c r="M105" s="36" t="n">
        <x:f>IF(A105="",0,_xlfn.MAXIFS('13_검토이력'!$P$6:$P$305,'13_검토이력'!$B$6:$B$305,A105,'13_검토이력'!$O$6:$O$305,1))</x:f>
        <x:v>0</x:v>
      </x:c>
      <x:c r="N105" s="36" t="n">
        <x:f>IF(A105="",9,IF(M105=0,9,SUMIFS('13_검토이력'!$N$6:$N$305,'13_검토이력'!$P$6:$P$305,M105)))</x:f>
        <x:v>9</x:v>
      </x:c>
      <x:c r="O105" s="36" t="str">
        <x:f>IF(A105="","",INDEX('17_코드북'!$B$6:$B$15,N105+1))</x:f>
      </x:c>
      <x:c r="P105" s="41" t="n">
        <x:f>IF(A105="",0,_xlfn.MAXIFS('13_검토이력'!$D$6:$D$305,'13_검토이력'!$B$6:$B$305,A105,'13_검토이력'!$O$6:$O$305,1,'13_검토이력'!$Q$6:$Q$305,1))</x:f>
        <x:v>0</x:v>
      </x:c>
      <x:c r="Q105" s="36" t="str">
        <x:f>IF(OR(L105=0,P105=0),"",'01_설정'!$B$6-P105)</x:f>
      </x:c>
      <x:c r="R105" s="36" t="n">
        <x:f>IF(OR(L105=0,M105=0),0,SUMIFS('13_검토이력'!$S$6:$S$305,'13_검토이력'!$P$6:$P$305,M105))</x:f>
        <x:v>0</x:v>
      </x:c>
      <x:c r="S105" s="36" t="n">
        <x:f>IF(AND(L105=1,N105&gt;=1,N105&lt;=4),1,0)</x:f>
        <x:v>0</x:v>
      </x:c>
      <x:c r="T105" s="36" t="n">
        <x:f>IF(AND(S105=1,Q105&gt;'01_설정'!$B$10),1,0)</x:f>
        <x:v>0</x:v>
      </x:c>
      <x:c r="U105" s="36" t="n">
        <x:f>IF(AND(L105=1,N105=5),1,0)</x:f>
        <x:v>0</x:v>
      </x:c>
      <x:c r="V105" s="36" t="str">
        <x:f>IF(AND(L105=1,N105&gt;=6,N105&lt;=8,P105&gt;0),P105-F105,"")</x:f>
      </x:c>
      <x:c r="W105" s="36" t="str">
        <x:f>IF(OR(A105="",M105=0),"",IFERROR(INDEX('13_검토이력'!$L$6:$L$305,MATCH(M105,'13_검토이력'!$P$6:$P$305,0)),""))</x:f>
      </x:c>
      <x:c r="X105" s="36" t="n">
        <x:f>IF(A105="",0,IF(COUNTIF('12_신청'!$A$6:$A$105,A105)&gt;1,1,0))</x:f>
        <x:v>0</x:v>
      </x:c>
    </x:row>
  </x:sheetData>
  <x:mergeCells>
    <x:mergeCell ref="A1:X1"/>
    <x:mergeCell ref="A2:X3"/>
  </x:mergeCells>
  <x:conditionalFormatting sqref="Q6:Q105">
    <x:cfRule type="expression" dxfId="0" priority="1">
      <x:formula>T6=1</x:formula>
    </x:cfRule>
  </x:conditionalFormatting>
  <x:dataValidations count="3">
    <x:dataValidation type="list" sqref="D6:D105">
      <x:formula1>"new,revision"</x:formula1>
    </x:dataValidation>
    <x:dataValidation type="list" sqref="E6:E105">
      <x:formula1>"industry,transition,other,unclassified"</x:formula1>
    </x:dataValidation>
    <x:dataValidation type="list" sqref="J6:J10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fbede1f6a64f41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6" hidden="0" customWidth="1"/>
    <x:col min="10" max="10" width="17" hidden="0" customWidth="1"/>
    <x:col min="11" max="11" width="36" hidden="0" customWidth="1"/>
    <x:col min="12" max="12" width="36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 ht="32" customHeight="1">
      <x:c r="A1" s="7" t="str">
        <x:v>review_events | 입력 원장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</x:row>
    <x:row r="2" ht="21" customHeight="1">
      <x:c r="A2" s="15" t="str">
        <x:v>5행 영문 헤더·파란 글씨 열=JSON 교환 입력. 오른쪽 회색 계산열 수정 금지. 새 자료는 준비된 빈 행에 입력; 용량 초과 시 수식 범위 확장 필요.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0" customHeight="1">
      <x:c r="A5" s="33" t="str">
        <x:v>id</x:v>
      </x:c>
      <x:c r="B5" s="33" t="str">
        <x:v>application_id</x:v>
      </x:c>
      <x:c r="C5" s="33" t="str">
        <x:v>sequence</x:v>
      </x:c>
      <x:c r="D5" s="33" t="str">
        <x:v>occurred_on</x:v>
      </x:c>
      <x:c r="E5" s="33" t="str">
        <x:v>recorded_on</x:v>
      </x:c>
      <x:c r="F5" s="33" t="str">
        <x:v>stage</x:v>
      </x:c>
      <x:c r="G5" s="33" t="str">
        <x:v>action</x:v>
      </x:c>
      <x:c r="H5" s="33" t="str">
        <x:v>waiting</x:v>
      </x:c>
      <x:c r="I5" s="33" t="str">
        <x:v>official_status_text</x:v>
      </x:c>
      <x:c r="J5" s="33" t="str">
        <x:v>source_id</x:v>
      </x:c>
      <x:c r="K5" s="33" t="str">
        <x:v>note</x:v>
      </x:c>
      <x:c r="L5" s="33" t="str">
        <x:v>next_action</x:v>
      </x:c>
      <x:c r="M5" s="33" t="str">
        <x:v>due_on</x:v>
      </x:c>
      <x:c r="N5" s="38" t="str">
        <x:v>단계 코드</x:v>
      </x:c>
      <x:c r="O5" s="38" t="str">
        <x:v>기준일 포함</x:v>
      </x:c>
      <x:c r="P5" s="38" t="str">
        <x:v>정렬 키</x:v>
      </x:c>
      <x:c r="Q5" s="38" t="str">
        <x:v>단계 변경</x:v>
      </x:c>
      <x:c r="R5" s="38" t="str">
        <x:v>이전 키</x:v>
      </x:c>
      <x:c r="S5" s="38" t="str">
        <x:v>보완대기 수치</x:v>
      </x:c>
    </x:row>
    <x:row r="6" ht="20" customHeight="1">
      <x:c r="A6" s="22" t="str">
        <x:v>DEMO-E001</x:v>
      </x:c>
      <x:c r="B6" s="22" t="str">
        <x:v>DEMO-A001</x:v>
      </x:c>
      <x:c r="C6" s="22" t="n">
        <x:v>1</x:v>
      </x:c>
      <x:c r="D6" s="28" t="n">
        <x:v>46204</x:v>
      </x:c>
      <x:c r="E6" s="28" t="n">
        <x:v>46204</x:v>
      </x:c>
      <x:c r="F6" s="22" t="str">
        <x:v>submitted</x:v>
      </x:c>
      <x:c r="G6" s="22" t="str">
        <x:v>transition</x:v>
      </x:c>
      <x:c r="H6" s="30" t="b">
        <x:v>0</x:v>
      </x:c>
      <x:c r="I6" s="26" t="str">
        <x:v>합성 예시: 접수</x:v>
      </x:c>
      <x:c r="J6" s="22" t="str">
        <x:v>DEMO-INTERNAL</x:v>
      </x:c>
      <x:c r="K6" s="26" t="str">
        <x:v>테스트용 이력; 실제 행정처분 아님</x:v>
      </x:c>
      <x:c r="L6" s="26" t="str">
        <x:v>다음 단계 확인</x:v>
      </x:c>
      <x:c r="M6" s="28"/>
      <x:c r="N6" s="12" t="n">
        <x:f>IF(A6="",0,IFERROR(MATCH(F6,'17_코드북'!$A$6:$A$14,0)-1,9))</x:f>
        <x:v>1</x:v>
      </x:c>
      <x:c r="O6" s="12" t="n">
        <x:f>IF(A6="",0,IF(AND(D6&lt;='01_설정'!$B$6,E6&lt;='01_설정'!$B$7),1,0))</x:f>
        <x:v>1</x:v>
      </x:c>
      <x:c r="P6" s="12" t="n">
        <x:f>IF(A6="",0,D6*100000+C6)</x:f>
        <x:v>4620400001</x:v>
      </x:c>
      <x:c r="Q6" s="12" t="n">
        <x:f>IF(O6=0,0,IF(OR(R6=0,N6&lt;&gt;SUMIFS('13_검토이력'!$N$6:$N$305,'13_검토이력'!$P$6:$P$305,R6)),1,0))</x:f>
        <x:v>1</x:v>
      </x:c>
      <x:c r="R6" s="12" t="n">
        <x:f>IF(O6=0,0,_xlfn.MAXIFS('13_검토이력'!$P$6:$P$305,'13_검토이력'!$B$6:$B$305,B6,'13_검토이력'!$P$6:$P$305,"&lt;"&amp;P6,'13_검토이력'!$O$6:$O$305,1))</x:f>
        <x:v>0</x:v>
      </x:c>
      <x:c r="S6" s="12" t="n">
        <x:f>IF(A6="",0,IF(OR(H6=TRUE,H6="TRUE",H6="true"),1,0))</x:f>
        <x:v>0</x:v>
      </x:c>
    </x:row>
    <x:row r="7" ht="20" customHeight="1">
      <x:c r="A7" s="22" t="str">
        <x:v>DEMO-E002</x:v>
      </x:c>
      <x:c r="B7" s="22" t="str">
        <x:v>DEMO-A001</x:v>
      </x:c>
      <x:c r="C7" s="22" t="n">
        <x:v>2</x:v>
      </x:c>
      <x:c r="D7" s="28" t="n">
        <x:v>46208</x:v>
      </x:c>
      <x:c r="E7" s="28" t="n">
        <x:v>46208</x:v>
      </x:c>
      <x:c r="F7" s="22" t="str">
        <x:v>review</x:v>
      </x:c>
      <x:c r="G7" s="22" t="str">
        <x:v>transition</x:v>
      </x:c>
      <x:c r="H7" s="30" t="b">
        <x:v>0</x:v>
      </x:c>
      <x:c r="I7" s="26" t="str">
        <x:v>합성 예시: 관장기관 검토</x:v>
      </x:c>
      <x:c r="J7" s="22" t="str">
        <x:v>DEMO-INTERNAL</x:v>
      </x:c>
      <x:c r="K7" s="26" t="str">
        <x:v>테스트용 이력; 실제 행정처분 아님</x:v>
      </x:c>
      <x:c r="L7" s="26" t="str">
        <x:v>다음 단계 확인</x:v>
      </x:c>
      <x:c r="M7" s="28"/>
      <x:c r="N7" s="12" t="n">
        <x:f>IF(A7="",0,IFERROR(MATCH(F7,'17_코드북'!$A$6:$A$14,0)-1,9))</x:f>
        <x:v>2</x:v>
      </x:c>
      <x:c r="O7" s="12" t="n">
        <x:f>IF(A7="",0,IF(AND(D7&lt;='01_설정'!$B$6,E7&lt;='01_설정'!$B$7),1,0))</x:f>
        <x:v>1</x:v>
      </x:c>
      <x:c r="P7" s="12" t="n">
        <x:f>IF(A7="",0,D7*100000+C7)</x:f>
        <x:v>4620800002</x:v>
      </x:c>
      <x:c r="Q7" s="12" t="n">
        <x:f>IF(O7=0,0,IF(OR(R7=0,N7&lt;&gt;SUMIFS('13_검토이력'!$N$6:$N$305,'13_검토이력'!$P$6:$P$305,R7)),1,0))</x:f>
        <x:v>1</x:v>
      </x:c>
      <x:c r="R7" s="12" t="n">
        <x:f>IF(O7=0,0,_xlfn.MAXIFS('13_검토이력'!$P$6:$P$305,'13_검토이력'!$B$6:$B$305,B7,'13_검토이력'!$P$6:$P$305,"&lt;"&amp;P7,'13_검토이력'!$O$6:$O$305,1))</x:f>
        <x:v>4620400001</x:v>
      </x:c>
      <x:c r="S7" s="12" t="n">
        <x:f>IF(A7="",0,IF(OR(H7=TRUE,H7="TRUE",H7="true"),1,0))</x:f>
        <x:v>0</x:v>
      </x:c>
    </x:row>
    <x:row r="8" ht="20" customHeight="1">
      <x:c r="A8" s="22" t="str">
        <x:v>DEMO-E003</x:v>
      </x:c>
      <x:c r="B8" s="22" t="str">
        <x:v>DEMO-A001</x:v>
      </x:c>
      <x:c r="C8" s="22" t="n">
        <x:v>3</x:v>
      </x:c>
      <x:c r="D8" s="28" t="n">
        <x:v>46266</x:v>
      </x:c>
      <x:c r="E8" s="28" t="n">
        <x:v>46266</x:v>
      </x:c>
      <x:c r="F8" s="22" t="str">
        <x:v>review</x:v>
      </x:c>
      <x:c r="G8" s="22" t="str">
        <x:v>supplement_requested</x:v>
      </x:c>
      <x:c r="H8" s="30" t="b">
        <x:v>1</x:v>
      </x:c>
      <x:c r="I8" s="26" t="str">
        <x:v>합성 예시: 관장기관 검토</x:v>
      </x:c>
      <x:c r="J8" s="22" t="str">
        <x:v>DEMO-INTERNAL</x:v>
      </x:c>
      <x:c r="K8" s="26" t="str">
        <x:v>테스트용 이력; 실제 행정처분 아님</x:v>
      </x:c>
      <x:c r="L8" s="26" t="str">
        <x:v>보완자료 회신 확인</x:v>
      </x:c>
      <x:c r="M8" s="28" t="n">
        <x:v>46315</x:v>
      </x:c>
      <x:c r="N8" s="12" t="n">
        <x:f>IF(A8="",0,IFERROR(MATCH(F8,'17_코드북'!$A$6:$A$14,0)-1,9))</x:f>
        <x:v>2</x:v>
      </x:c>
      <x:c r="O8" s="12" t="n">
        <x:f>IF(A8="",0,IF(AND(D8&lt;='01_설정'!$B$6,E8&lt;='01_설정'!$B$7),1,0))</x:f>
        <x:v>1</x:v>
      </x:c>
      <x:c r="P8" s="12" t="n">
        <x:f>IF(A8="",0,D8*100000+C8)</x:f>
        <x:v>4626600003</x:v>
      </x:c>
      <x:c r="Q8" s="12" t="n">
        <x:f>IF(O8=0,0,IF(OR(R8=0,N8&lt;&gt;SUMIFS('13_검토이력'!$N$6:$N$305,'13_검토이력'!$P$6:$P$305,R8)),1,0))</x:f>
        <x:v>0</x:v>
      </x:c>
      <x:c r="R8" s="12" t="n">
        <x:f>IF(O8=0,0,_xlfn.MAXIFS('13_검토이력'!$P$6:$P$305,'13_검토이력'!$B$6:$B$305,B8,'13_검토이력'!$P$6:$P$305,"&lt;"&amp;P8,'13_검토이력'!$O$6:$O$305,1))</x:f>
        <x:v>4620800002</x:v>
      </x:c>
      <x:c r="S8" s="12" t="n">
        <x:f>IF(A8="",0,IF(OR(H8=TRUE,H8="TRUE",H8="true"),1,0))</x:f>
        <x:v>1</x:v>
      </x:c>
    </x:row>
    <x:row r="9" ht="20" customHeight="1">
      <x:c r="A9" s="22" t="str">
        <x:v>DEMO-E004</x:v>
      </x:c>
      <x:c r="B9" s="22" t="str">
        <x:v>DEMO-A002</x:v>
      </x:c>
      <x:c r="C9" s="22" t="n">
        <x:v>4</x:v>
      </x:c>
      <x:c r="D9" s="28" t="n">
        <x:v>46249</x:v>
      </x:c>
      <x:c r="E9" s="28" t="n">
        <x:v>46249</x:v>
      </x:c>
      <x:c r="F9" s="22" t="str">
        <x:v>submitted</x:v>
      </x:c>
      <x:c r="G9" s="22" t="str">
        <x:v>transition</x:v>
      </x:c>
      <x:c r="H9" s="30" t="b">
        <x:v>0</x:v>
      </x:c>
      <x:c r="I9" s="26" t="str">
        <x:v>합성 예시: 접수</x:v>
      </x:c>
      <x:c r="J9" s="22" t="str">
        <x:v>DEMO-INTERNAL</x:v>
      </x:c>
      <x:c r="K9" s="26" t="str">
        <x:v>테스트용 이력; 실제 행정처분 아님</x:v>
      </x:c>
      <x:c r="L9" s="26" t="str">
        <x:v>다음 단계 확인</x:v>
      </x:c>
      <x:c r="M9" s="28"/>
      <x:c r="N9" s="12" t="n">
        <x:f>IF(A9="",0,IFERROR(MATCH(F9,'17_코드북'!$A$6:$A$14,0)-1,9))</x:f>
        <x:v>1</x:v>
      </x:c>
      <x:c r="O9" s="12" t="n">
        <x:f>IF(A9="",0,IF(AND(D9&lt;='01_설정'!$B$6,E9&lt;='01_설정'!$B$7),1,0))</x:f>
        <x:v>1</x:v>
      </x:c>
      <x:c r="P9" s="12" t="n">
        <x:f>IF(A9="",0,D9*100000+C9)</x:f>
        <x:v>4624900004</x:v>
      </x:c>
      <x:c r="Q9" s="12" t="n">
        <x:f>IF(O9=0,0,IF(OR(R9=0,N9&lt;&gt;SUMIFS('13_검토이력'!$N$6:$N$305,'13_검토이력'!$P$6:$P$305,R9)),1,0))</x:f>
        <x:v>1</x:v>
      </x:c>
      <x:c r="R9" s="12" t="n">
        <x:f>IF(O9=0,0,_xlfn.MAXIFS('13_검토이력'!$P$6:$P$305,'13_검토이력'!$B$6:$B$305,B9,'13_검토이력'!$P$6:$P$305,"&lt;"&amp;P9,'13_검토이력'!$O$6:$O$305,1))</x:f>
        <x:v>0</x:v>
      </x:c>
      <x:c r="S9" s="12" t="n">
        <x:f>IF(A9="",0,IF(OR(H9=TRUE,H9="TRUE",H9="true"),1,0))</x:f>
        <x:v>0</x:v>
      </x:c>
    </x:row>
    <x:row r="10" ht="20" customHeight="1">
      <x:c r="A10" s="22" t="str">
        <x:v>DEMO-E005</x:v>
      </x:c>
      <x:c r="B10" s="22" t="str">
        <x:v>DEMO-A002</x:v>
      </x:c>
      <x:c r="C10" s="22" t="n">
        <x:v>5</x:v>
      </x:c>
      <x:c r="D10" s="28" t="n">
        <x:v>46252</x:v>
      </x:c>
      <x:c r="E10" s="28" t="n">
        <x:v>46252</x:v>
      </x:c>
      <x:c r="F10" s="22" t="str">
        <x:v>review</x:v>
      </x:c>
      <x:c r="G10" s="22" t="str">
        <x:v>transition</x:v>
      </x:c>
      <x:c r="H10" s="30" t="b">
        <x:v>0</x:v>
      </x:c>
      <x:c r="I10" s="26" t="str">
        <x:v>합성 예시: 관장기관 검토</x:v>
      </x:c>
      <x:c r="J10" s="22" t="str">
        <x:v>DEMO-INTERNAL</x:v>
      </x:c>
      <x:c r="K10" s="26" t="str">
        <x:v>테스트용 이력; 실제 행정처분 아님</x:v>
      </x:c>
      <x:c r="L10" s="26" t="str">
        <x:v>다음 단계 확인</x:v>
      </x:c>
      <x:c r="M10" s="28"/>
      <x:c r="N10" s="12" t="n">
        <x:f>IF(A10="",0,IFERROR(MATCH(F10,'17_코드북'!$A$6:$A$14,0)-1,9))</x:f>
        <x:v>2</x:v>
      </x:c>
      <x:c r="O10" s="12" t="n">
        <x:f>IF(A10="",0,IF(AND(D10&lt;='01_설정'!$B$6,E10&lt;='01_설정'!$B$7),1,0))</x:f>
        <x:v>1</x:v>
      </x:c>
      <x:c r="P10" s="12" t="n">
        <x:f>IF(A10="",0,D10*100000+C10)</x:f>
        <x:v>4625200005</x:v>
      </x:c>
      <x:c r="Q10" s="12" t="n">
        <x:f>IF(O10=0,0,IF(OR(R10=0,N10&lt;&gt;SUMIFS('13_검토이력'!$N$6:$N$305,'13_검토이력'!$P$6:$P$305,R10)),1,0))</x:f>
        <x:v>1</x:v>
      </x:c>
      <x:c r="R10" s="12" t="n">
        <x:f>IF(O10=0,0,_xlfn.MAXIFS('13_검토이력'!$P$6:$P$305,'13_검토이력'!$B$6:$B$305,B10,'13_검토이력'!$P$6:$P$305,"&lt;"&amp;P10,'13_검토이력'!$O$6:$O$305,1))</x:f>
        <x:v>4624900004</x:v>
      </x:c>
      <x:c r="S10" s="12" t="n">
        <x:f>IF(A10="",0,IF(OR(H10=TRUE,H10="TRUE",H10="true"),1,0))</x:f>
        <x:v>0</x:v>
      </x:c>
    </x:row>
    <x:row r="11" ht="20" customHeight="1">
      <x:c r="A11" s="22" t="str">
        <x:v>DEMO-E006</x:v>
      </x:c>
      <x:c r="B11" s="22" t="str">
        <x:v>DEMO-A002</x:v>
      </x:c>
      <x:c r="C11" s="22" t="n">
        <x:v>6</x:v>
      </x:c>
      <x:c r="D11" s="28" t="n">
        <x:v>46275</x:v>
      </x:c>
      <x:c r="E11" s="28" t="n">
        <x:v>46275</x:v>
      </x:c>
      <x:c r="F11" s="22" t="str">
        <x:v>consultation</x:v>
      </x:c>
      <x:c r="G11" s="22" t="str">
        <x:v>transition</x:v>
      </x:c>
      <x:c r="H11" s="30" t="b">
        <x:v>0</x:v>
      </x:c>
      <x:c r="I11" s="26" t="str">
        <x:v>합성 예시: 관계기관 협의</x:v>
      </x:c>
      <x:c r="J11" s="22" t="str">
        <x:v>DEMO-INTERNAL</x:v>
      </x:c>
      <x:c r="K11" s="26" t="str">
        <x:v>테스트용 이력; 실제 행정처분 아님</x:v>
      </x:c>
      <x:c r="L11" s="26" t="str">
        <x:v>다음 단계 확인</x:v>
      </x:c>
      <x:c r="M11" s="28"/>
      <x:c r="N11" s="12" t="n">
        <x:f>IF(A11="",0,IFERROR(MATCH(F11,'17_코드북'!$A$6:$A$14,0)-1,9))</x:f>
        <x:v>3</x:v>
      </x:c>
      <x:c r="O11" s="12" t="n">
        <x:f>IF(A11="",0,IF(AND(D11&lt;='01_설정'!$B$6,E11&lt;='01_설정'!$B$7),1,0))</x:f>
        <x:v>1</x:v>
      </x:c>
      <x:c r="P11" s="12" t="n">
        <x:f>IF(A11="",0,D11*100000+C11)</x:f>
        <x:v>4627500006</x:v>
      </x:c>
      <x:c r="Q11" s="12" t="n">
        <x:f>IF(O11=0,0,IF(OR(R11=0,N11&lt;&gt;SUMIFS('13_검토이력'!$N$6:$N$305,'13_검토이력'!$P$6:$P$305,R11)),1,0))</x:f>
        <x:v>1</x:v>
      </x:c>
      <x:c r="R11" s="12" t="n">
        <x:f>IF(O11=0,0,_xlfn.MAXIFS('13_검토이력'!$P$6:$P$305,'13_검토이력'!$B$6:$B$305,B11,'13_검토이력'!$P$6:$P$305,"&lt;"&amp;P11,'13_검토이력'!$O$6:$O$305,1))</x:f>
        <x:v>4625200005</x:v>
      </x:c>
      <x:c r="S11" s="12" t="n">
        <x:f>IF(A11="",0,IF(OR(H11=TRUE,H11="TRUE",H11="true"),1,0))</x:f>
        <x:v>0</x:v>
      </x:c>
    </x:row>
    <x:row r="12" ht="20" customHeight="1">
      <x:c r="A12" s="22" t="str">
        <x:v>DEMO-E007</x:v>
      </x:c>
      <x:c r="B12" s="22" t="str">
        <x:v>DEMO-A003</x:v>
      </x:c>
      <x:c r="C12" s="22" t="n">
        <x:v>7</x:v>
      </x:c>
      <x:c r="D12" s="28" t="n">
        <x:v>46266</x:v>
      </x:c>
      <x:c r="E12" s="28" t="n">
        <x:v>46266</x:v>
      </x:c>
      <x:c r="F12" s="22" t="str">
        <x:v>submitted</x:v>
      </x:c>
      <x:c r="G12" s="22" t="str">
        <x:v>transition</x:v>
      </x:c>
      <x:c r="H12" s="30" t="b">
        <x:v>0</x:v>
      </x:c>
      <x:c r="I12" s="26" t="str">
        <x:v>합성 예시: 접수</x:v>
      </x:c>
      <x:c r="J12" s="22" t="str">
        <x:v>DEMO-INTERNAL</x:v>
      </x:c>
      <x:c r="K12" s="26" t="str">
        <x:v>테스트용 이력; 실제 행정처분 아님</x:v>
      </x:c>
      <x:c r="L12" s="26" t="str">
        <x:v>다음 단계 확인</x:v>
      </x:c>
      <x:c r="M12" s="28"/>
      <x:c r="N12" s="12" t="n">
        <x:f>IF(A12="",0,IFERROR(MATCH(F12,'17_코드북'!$A$6:$A$14,0)-1,9))</x:f>
        <x:v>1</x:v>
      </x:c>
      <x:c r="O12" s="12" t="n">
        <x:f>IF(A12="",0,IF(AND(D12&lt;='01_설정'!$B$6,E12&lt;='01_설정'!$B$7),1,0))</x:f>
        <x:v>1</x:v>
      </x:c>
      <x:c r="P12" s="12" t="n">
        <x:f>IF(A12="",0,D12*100000+C12)</x:f>
        <x:v>4626600007</x:v>
      </x:c>
      <x:c r="Q12" s="12" t="n">
        <x:f>IF(O12=0,0,IF(OR(R12=0,N12&lt;&gt;SUMIFS('13_검토이력'!$N$6:$N$305,'13_검토이력'!$P$6:$P$305,R12)),1,0))</x:f>
        <x:v>1</x:v>
      </x:c>
      <x:c r="R12" s="12" t="n">
        <x:f>IF(O12=0,0,_xlfn.MAXIFS('13_검토이력'!$P$6:$P$305,'13_검토이력'!$B$6:$B$305,B12,'13_검토이력'!$P$6:$P$305,"&lt;"&amp;P12,'13_검토이력'!$O$6:$O$305,1))</x:f>
        <x:v>0</x:v>
      </x:c>
      <x:c r="S12" s="12" t="n">
        <x:f>IF(A12="",0,IF(OR(H12=TRUE,H12="TRUE",H12="true"),1,0))</x:f>
        <x:v>0</x:v>
      </x:c>
    </x:row>
    <x:row r="13" ht="20" customHeight="1">
      <x:c r="A13" s="22" t="str">
        <x:v>DEMO-E008</x:v>
      </x:c>
      <x:c r="B13" s="22" t="str">
        <x:v>DEMO-A003</x:v>
      </x:c>
      <x:c r="C13" s="22" t="n">
        <x:v>8</x:v>
      </x:c>
      <x:c r="D13" s="28" t="n">
        <x:v>46274</x:v>
      </x:c>
      <x:c r="E13" s="28" t="n">
        <x:v>46274</x:v>
      </x:c>
      <x:c r="F13" s="22" t="str">
        <x:v>review</x:v>
      </x:c>
      <x:c r="G13" s="22" t="str">
        <x:v>transition</x:v>
      </x:c>
      <x:c r="H13" s="30" t="b">
        <x:v>0</x:v>
      </x:c>
      <x:c r="I13" s="26" t="str">
        <x:v>합성 예시: 관장기관 검토</x:v>
      </x:c>
      <x:c r="J13" s="22" t="str">
        <x:v>DEMO-INTERNAL</x:v>
      </x:c>
      <x:c r="K13" s="26" t="str">
        <x:v>테스트용 이력; 실제 행정처분 아님</x:v>
      </x:c>
      <x:c r="L13" s="26" t="str">
        <x:v>다음 단계 확인</x:v>
      </x:c>
      <x:c r="M13" s="28"/>
      <x:c r="N13" s="12" t="n">
        <x:f>IF(A13="",0,IFERROR(MATCH(F13,'17_코드북'!$A$6:$A$14,0)-1,9))</x:f>
        <x:v>2</x:v>
      </x:c>
      <x:c r="O13" s="12" t="n">
        <x:f>IF(A13="",0,IF(AND(D13&lt;='01_설정'!$B$6,E13&lt;='01_설정'!$B$7),1,0))</x:f>
        <x:v>1</x:v>
      </x:c>
      <x:c r="P13" s="12" t="n">
        <x:f>IF(A13="",0,D13*100000+C13)</x:f>
        <x:v>4627400008</x:v>
      </x:c>
      <x:c r="Q13" s="12" t="n">
        <x:f>IF(O13=0,0,IF(OR(R13=0,N13&lt;&gt;SUMIFS('13_검토이력'!$N$6:$N$305,'13_검토이력'!$P$6:$P$305,R13)),1,0))</x:f>
        <x:v>1</x:v>
      </x:c>
      <x:c r="R13" s="12" t="n">
        <x:f>IF(O13=0,0,_xlfn.MAXIFS('13_검토이력'!$P$6:$P$305,'13_검토이력'!$B$6:$B$305,B13,'13_검토이력'!$P$6:$P$305,"&lt;"&amp;P13,'13_검토이력'!$O$6:$O$305,1))</x:f>
        <x:v>4626600007</x:v>
      </x:c>
      <x:c r="S13" s="12" t="n">
        <x:f>IF(A13="",0,IF(OR(H13=TRUE,H13="TRUE",H13="true"),1,0))</x:f>
        <x:v>0</x:v>
      </x:c>
    </x:row>
    <x:row r="14" ht="20" customHeight="1">
      <x:c r="A14" s="22" t="str">
        <x:v>DEMO-E009</x:v>
      </x:c>
      <x:c r="B14" s="22" t="str">
        <x:v>DEMO-A003</x:v>
      </x:c>
      <x:c r="C14" s="22" t="n">
        <x:v>9</x:v>
      </x:c>
      <x:c r="D14" s="28" t="n">
        <x:v>46296</x:v>
      </x:c>
      <x:c r="E14" s="28" t="n">
        <x:v>46296</x:v>
      </x:c>
      <x:c r="F14" s="22" t="str">
        <x:v>committee</x:v>
      </x:c>
      <x:c r="G14" s="22" t="str">
        <x:v>transition</x:v>
      </x:c>
      <x:c r="H14" s="30" t="b">
        <x:v>0</x:v>
      </x:c>
      <x:c r="I14" s="26" t="str">
        <x:v>합성 예시: 심의</x:v>
      </x:c>
      <x:c r="J14" s="22" t="str">
        <x:v>DEMO-INTERNAL</x:v>
      </x:c>
      <x:c r="K14" s="26" t="str">
        <x:v>테스트용 이력; 실제 행정처분 아님</x:v>
      </x:c>
      <x:c r="L14" s="26" t="str">
        <x:v>다음 단계 확인</x:v>
      </x:c>
      <x:c r="M14" s="28"/>
      <x:c r="N14" s="12" t="n">
        <x:f>IF(A14="",0,IFERROR(MATCH(F14,'17_코드북'!$A$6:$A$14,0)-1,9))</x:f>
        <x:v>4</x:v>
      </x:c>
      <x:c r="O14" s="12" t="n">
        <x:f>IF(A14="",0,IF(AND(D14&lt;='01_설정'!$B$6,E14&lt;='01_설정'!$B$7),1,0))</x:f>
        <x:v>1</x:v>
      </x:c>
      <x:c r="P14" s="12" t="n">
        <x:f>IF(A14="",0,D14*100000+C14)</x:f>
        <x:v>4629600009</x:v>
      </x:c>
      <x:c r="Q14" s="12" t="n">
        <x:f>IF(O14=0,0,IF(OR(R14=0,N14&lt;&gt;SUMIFS('13_검토이력'!$N$6:$N$305,'13_검토이력'!$P$6:$P$305,R14)),1,0))</x:f>
        <x:v>1</x:v>
      </x:c>
      <x:c r="R14" s="12" t="n">
        <x:f>IF(O14=0,0,_xlfn.MAXIFS('13_검토이력'!$P$6:$P$305,'13_검토이력'!$B$6:$B$305,B14,'13_검토이력'!$P$6:$P$305,"&lt;"&amp;P14,'13_검토이력'!$O$6:$O$305,1))</x:f>
        <x:v>4627400008</x:v>
      </x:c>
      <x:c r="S14" s="12" t="n">
        <x:f>IF(A14="",0,IF(OR(H14=TRUE,H14="TRUE",H14="true"),1,0))</x:f>
        <x:v>0</x:v>
      </x:c>
    </x:row>
    <x:row r="15" ht="20" customHeight="1">
      <x:c r="A15" s="22" t="str">
        <x:v>DEMO-E010</x:v>
      </x:c>
      <x:c r="B15" s="22" t="str">
        <x:v>DEMO-A004</x:v>
      </x:c>
      <x:c r="C15" s="22" t="n">
        <x:v>10</x:v>
      </x:c>
      <x:c r="D15" s="28" t="n">
        <x:v>46174</x:v>
      </x:c>
      <x:c r="E15" s="28" t="n">
        <x:v>46174</x:v>
      </x:c>
      <x:c r="F15" s="22" t="str">
        <x:v>submitted</x:v>
      </x:c>
      <x:c r="G15" s="22" t="str">
        <x:v>transition</x:v>
      </x:c>
      <x:c r="H15" s="30" t="b">
        <x:v>0</x:v>
      </x:c>
      <x:c r="I15" s="26" t="str">
        <x:v>합성 예시: 접수</x:v>
      </x:c>
      <x:c r="J15" s="22" t="str">
        <x:v>DEMO-INTERNAL</x:v>
      </x:c>
      <x:c r="K15" s="26" t="str">
        <x:v>테스트용 이력; 실제 행정처분 아님</x:v>
      </x:c>
      <x:c r="L15" s="26" t="str">
        <x:v>다음 단계 확인</x:v>
      </x:c>
      <x:c r="M15" s="28"/>
      <x:c r="N15" s="12" t="n">
        <x:f>IF(A15="",0,IFERROR(MATCH(F15,'17_코드북'!$A$6:$A$14,0)-1,9))</x:f>
        <x:v>1</x:v>
      </x:c>
      <x:c r="O15" s="12" t="n">
        <x:f>IF(A15="",0,IF(AND(D15&lt;='01_설정'!$B$6,E15&lt;='01_설정'!$B$7),1,0))</x:f>
        <x:v>1</x:v>
      </x:c>
      <x:c r="P15" s="12" t="n">
        <x:f>IF(A15="",0,D15*100000+C15)</x:f>
        <x:v>4617400010</x:v>
      </x:c>
      <x:c r="Q15" s="12" t="n">
        <x:f>IF(O15=0,0,IF(OR(R15=0,N15&lt;&gt;SUMIFS('13_검토이력'!$N$6:$N$305,'13_검토이력'!$P$6:$P$305,R15)),1,0))</x:f>
        <x:v>1</x:v>
      </x:c>
      <x:c r="R15" s="12" t="n">
        <x:f>IF(O15=0,0,_xlfn.MAXIFS('13_검토이력'!$P$6:$P$305,'13_검토이력'!$B$6:$B$305,B15,'13_검토이력'!$P$6:$P$305,"&lt;"&amp;P15,'13_검토이력'!$O$6:$O$305,1))</x:f>
        <x:v>0</x:v>
      </x:c>
      <x:c r="S15" s="12" t="n">
        <x:f>IF(A15="",0,IF(OR(H15=TRUE,H15="TRUE",H15="true"),1,0))</x:f>
        <x:v>0</x:v>
      </x:c>
    </x:row>
    <x:row r="16" ht="20" customHeight="1">
      <x:c r="A16" s="22" t="str">
        <x:v>DEMO-E011</x:v>
      </x:c>
      <x:c r="B16" s="22" t="str">
        <x:v>DEMO-A004</x:v>
      </x:c>
      <x:c r="C16" s="22" t="n">
        <x:v>11</x:v>
      </x:c>
      <x:c r="D16" s="28" t="n">
        <x:v>46204</x:v>
      </x:c>
      <x:c r="E16" s="28" t="n">
        <x:v>46204</x:v>
      </x:c>
      <x:c r="F16" s="22" t="str">
        <x:v>review</x:v>
      </x:c>
      <x:c r="G16" s="22" t="str">
        <x:v>transition</x:v>
      </x:c>
      <x:c r="H16" s="30" t="b">
        <x:v>0</x:v>
      </x:c>
      <x:c r="I16" s="26" t="str">
        <x:v>합성 예시: 관장기관 검토</x:v>
      </x:c>
      <x:c r="J16" s="22" t="str">
        <x:v>DEMO-INTERNAL</x:v>
      </x:c>
      <x:c r="K16" s="26" t="str">
        <x:v>테스트용 이력; 실제 행정처분 아님</x:v>
      </x:c>
      <x:c r="L16" s="26" t="str">
        <x:v>다음 단계 확인</x:v>
      </x:c>
      <x:c r="M16" s="28"/>
      <x:c r="N16" s="12" t="n">
        <x:f>IF(A16="",0,IFERROR(MATCH(F16,'17_코드북'!$A$6:$A$14,0)-1,9))</x:f>
        <x:v>2</x:v>
      </x:c>
      <x:c r="O16" s="12" t="n">
        <x:f>IF(A16="",0,IF(AND(D16&lt;='01_설정'!$B$6,E16&lt;='01_설정'!$B$7),1,0))</x:f>
        <x:v>1</x:v>
      </x:c>
      <x:c r="P16" s="12" t="n">
        <x:f>IF(A16="",0,D16*100000+C16)</x:f>
        <x:v>4620400011</x:v>
      </x:c>
      <x:c r="Q16" s="12" t="n">
        <x:f>IF(O16=0,0,IF(OR(R16=0,N16&lt;&gt;SUMIFS('13_검토이력'!$N$6:$N$305,'13_검토이력'!$P$6:$P$305,R16)),1,0))</x:f>
        <x:v>1</x:v>
      </x:c>
      <x:c r="R16" s="12" t="n">
        <x:f>IF(O16=0,0,_xlfn.MAXIFS('13_검토이력'!$P$6:$P$305,'13_검토이력'!$B$6:$B$305,B16,'13_검토이력'!$P$6:$P$305,"&lt;"&amp;P16,'13_검토이력'!$O$6:$O$305,1))</x:f>
        <x:v>4617400010</x:v>
      </x:c>
      <x:c r="S16" s="12" t="n">
        <x:f>IF(A16="",0,IF(OR(H16=TRUE,H16="TRUE",H16="true"),1,0))</x:f>
        <x:v>0</x:v>
      </x:c>
    </x:row>
    <x:row r="17" ht="20" customHeight="1">
      <x:c r="A17" s="22" t="str">
        <x:v>DEMO-E012</x:v>
      </x:c>
      <x:c r="B17" s="22" t="str">
        <x:v>DEMO-A004</x:v>
      </x:c>
      <x:c r="C17" s="22" t="n">
        <x:v>12</x:v>
      </x:c>
      <x:c r="D17" s="28" t="n">
        <x:v>46266</x:v>
      </x:c>
      <x:c r="E17" s="28" t="n">
        <x:v>46266</x:v>
      </x:c>
      <x:c r="F17" s="22" t="str">
        <x:v>committee</x:v>
      </x:c>
      <x:c r="G17" s="22" t="str">
        <x:v>transition</x:v>
      </x:c>
      <x:c r="H17" s="30" t="b">
        <x:v>0</x:v>
      </x:c>
      <x:c r="I17" s="26" t="str">
        <x:v>합성 예시: 심의</x:v>
      </x:c>
      <x:c r="J17" s="22" t="str">
        <x:v>DEMO-INTERNAL</x:v>
      </x:c>
      <x:c r="K17" s="26" t="str">
        <x:v>테스트용 이력; 실제 행정처분 아님</x:v>
      </x:c>
      <x:c r="L17" s="26" t="str">
        <x:v>다음 단계 확인</x:v>
      </x:c>
      <x:c r="M17" s="28"/>
      <x:c r="N17" s="12" t="n">
        <x:f>IF(A17="",0,IFERROR(MATCH(F17,'17_코드북'!$A$6:$A$14,0)-1,9))</x:f>
        <x:v>4</x:v>
      </x:c>
      <x:c r="O17" s="12" t="n">
        <x:f>IF(A17="",0,IF(AND(D17&lt;='01_설정'!$B$6,E17&lt;='01_설정'!$B$7),1,0))</x:f>
        <x:v>1</x:v>
      </x:c>
      <x:c r="P17" s="12" t="n">
        <x:f>IF(A17="",0,D17*100000+C17)</x:f>
        <x:v>4626600012</x:v>
      </x:c>
      <x:c r="Q17" s="12" t="n">
        <x:f>IF(O17=0,0,IF(OR(R17=0,N17&lt;&gt;SUMIFS('13_검토이력'!$N$6:$N$305,'13_검토이력'!$P$6:$P$305,R17)),1,0))</x:f>
        <x:v>1</x:v>
      </x:c>
      <x:c r="R17" s="12" t="n">
        <x:f>IF(O17=0,0,_xlfn.MAXIFS('13_검토이력'!$P$6:$P$305,'13_검토이력'!$B$6:$B$305,B17,'13_검토이력'!$P$6:$P$305,"&lt;"&amp;P17,'13_검토이력'!$O$6:$O$305,1))</x:f>
        <x:v>4620400011</x:v>
      </x:c>
      <x:c r="S17" s="12" t="n">
        <x:f>IF(A17="",0,IF(OR(H17=TRUE,H17="TRUE",H17="true"),1,0))</x:f>
        <x:v>0</x:v>
      </x:c>
    </x:row>
    <x:row r="18" ht="20" customHeight="1">
      <x:c r="A18" s="22" t="str">
        <x:v>DEMO-E013</x:v>
      </x:c>
      <x:c r="B18" s="22" t="str">
        <x:v>DEMO-A004</x:v>
      </x:c>
      <x:c r="C18" s="22" t="n">
        <x:v>13</x:v>
      </x:c>
      <x:c r="D18" s="28" t="n">
        <x:v>46300</x:v>
      </x:c>
      <x:c r="E18" s="28" t="n">
        <x:v>46300</x:v>
      </x:c>
      <x:c r="F18" s="22" t="str">
        <x:v>approved</x:v>
      </x:c>
      <x:c r="G18" s="22" t="str">
        <x:v>transition</x:v>
      </x:c>
      <x:c r="H18" s="30" t="b">
        <x:v>0</x:v>
      </x:c>
      <x:c r="I18" s="26" t="str">
        <x:v>합성 예시: 승인·등록대기</x:v>
      </x:c>
      <x:c r="J18" s="22" t="str">
        <x:v>DEMO-INTERNAL</x:v>
      </x:c>
      <x:c r="K18" s="26" t="str">
        <x:v>테스트용 이력; 실제 행정처분 아님</x:v>
      </x:c>
      <x:c r="L18" s="26" t="str">
        <x:v>다음 단계 확인</x:v>
      </x:c>
      <x:c r="M18" s="28"/>
      <x:c r="N18" s="12" t="n">
        <x:f>IF(A18="",0,IFERROR(MATCH(F18,'17_코드북'!$A$6:$A$14,0)-1,9))</x:f>
        <x:v>5</x:v>
      </x:c>
      <x:c r="O18" s="12" t="n">
        <x:f>IF(A18="",0,IF(AND(D18&lt;='01_설정'!$B$6,E18&lt;='01_설정'!$B$7),1,0))</x:f>
        <x:v>1</x:v>
      </x:c>
      <x:c r="P18" s="12" t="n">
        <x:f>IF(A18="",0,D18*100000+C18)</x:f>
        <x:v>4630000013</x:v>
      </x:c>
      <x:c r="Q18" s="12" t="n">
        <x:f>IF(O18=0,0,IF(OR(R18=0,N18&lt;&gt;SUMIFS('13_검토이력'!$N$6:$N$305,'13_검토이력'!$P$6:$P$305,R18)),1,0))</x:f>
        <x:v>1</x:v>
      </x:c>
      <x:c r="R18" s="12" t="n">
        <x:f>IF(O18=0,0,_xlfn.MAXIFS('13_검토이력'!$P$6:$P$305,'13_검토이력'!$B$6:$B$305,B18,'13_검토이력'!$P$6:$P$305,"&lt;"&amp;P18,'13_검토이력'!$O$6:$O$305,1))</x:f>
        <x:v>4626600012</x:v>
      </x:c>
      <x:c r="S18" s="12" t="n">
        <x:f>IF(A18="",0,IF(OR(H18=TRUE,H18="TRUE",H18="true"),1,0))</x:f>
        <x:v>0</x:v>
      </x:c>
    </x:row>
    <x:row r="19" ht="20" customHeight="1">
      <x:c r="A19" s="22" t="str">
        <x:v>DEMO-E014</x:v>
      </x:c>
      <x:c r="B19" s="22" t="str">
        <x:v>DEMO-A005</x:v>
      </x:c>
      <x:c r="C19" s="22" t="n">
        <x:v>14</x:v>
      </x:c>
      <x:c r="D19" s="28" t="n">
        <x:v>46305</x:v>
      </x:c>
      <x:c r="E19" s="28" t="n">
        <x:v>46305</x:v>
      </x:c>
      <x:c r="F19" s="22" t="str">
        <x:v>submitted</x:v>
      </x:c>
      <x:c r="G19" s="22" t="str">
        <x:v>transition</x:v>
      </x:c>
      <x:c r="H19" s="30" t="b">
        <x:v>0</x:v>
      </x:c>
      <x:c r="I19" s="26" t="str">
        <x:v>합성 예시: 접수</x:v>
      </x:c>
      <x:c r="J19" s="22" t="str">
        <x:v>DEMO-INTERNAL</x:v>
      </x:c>
      <x:c r="K19" s="26" t="str">
        <x:v>테스트용 이력; 실제 행정처분 아님</x:v>
      </x:c>
      <x:c r="L19" s="26" t="str">
        <x:v>다음 단계 확인</x:v>
      </x:c>
      <x:c r="M19" s="28"/>
      <x:c r="N19" s="12" t="n">
        <x:f>IF(A19="",0,IFERROR(MATCH(F19,'17_코드북'!$A$6:$A$14,0)-1,9))</x:f>
        <x:v>1</x:v>
      </x:c>
      <x:c r="O19" s="12" t="n">
        <x:f>IF(A19="",0,IF(AND(D19&lt;='01_설정'!$B$6,E19&lt;='01_설정'!$B$7),1,0))</x:f>
        <x:v>1</x:v>
      </x:c>
      <x:c r="P19" s="12" t="n">
        <x:f>IF(A19="",0,D19*100000+C19)</x:f>
        <x:v>4630500014</x:v>
      </x:c>
      <x:c r="Q19" s="12" t="n">
        <x:f>IF(O19=0,0,IF(OR(R19=0,N19&lt;&gt;SUMIFS('13_검토이력'!$N$6:$N$305,'13_검토이력'!$P$6:$P$305,R19)),1,0))</x:f>
        <x:v>1</x:v>
      </x:c>
      <x:c r="R19" s="12" t="n">
        <x:f>IF(O19=0,0,_xlfn.MAXIFS('13_검토이력'!$P$6:$P$305,'13_검토이력'!$B$6:$B$305,B19,'13_검토이력'!$P$6:$P$305,"&lt;"&amp;P19,'13_검토이력'!$O$6:$O$305,1))</x:f>
        <x:v>0</x:v>
      </x:c>
      <x:c r="S19" s="12" t="n">
        <x:f>IF(A19="",0,IF(OR(H19=TRUE,H19="TRUE",H19="true"),1,0))</x:f>
        <x:v>0</x:v>
      </x:c>
    </x:row>
    <x:row r="20" ht="20" customHeight="1">
      <x:c r="A20" s="22" t="str">
        <x:v>DEMO-E015</x:v>
      </x:c>
      <x:c r="B20" s="22" t="str">
        <x:v>DEMO-A006</x:v>
      </x:c>
      <x:c r="C20" s="22" t="n">
        <x:v>15</x:v>
      </x:c>
      <x:c r="D20" s="28" t="n">
        <x:v>46218</x:v>
      </x:c>
      <x:c r="E20" s="28" t="n">
        <x:v>46218</x:v>
      </x:c>
      <x:c r="F20" s="22" t="str">
        <x:v>submitted</x:v>
      </x:c>
      <x:c r="G20" s="22" t="str">
        <x:v>transition</x:v>
      </x:c>
      <x:c r="H20" s="30" t="b">
        <x:v>0</x:v>
      </x:c>
      <x:c r="I20" s="26" t="str">
        <x:v>합성 예시: 접수</x:v>
      </x:c>
      <x:c r="J20" s="22" t="str">
        <x:v>DEMO-INTERNAL</x:v>
      </x:c>
      <x:c r="K20" s="26" t="str">
        <x:v>테스트용 이력; 실제 행정처분 아님</x:v>
      </x:c>
      <x:c r="L20" s="26" t="str">
        <x:v>다음 단계 확인</x:v>
      </x:c>
      <x:c r="M20" s="28"/>
      <x:c r="N20" s="12" t="n">
        <x:f>IF(A20="",0,IFERROR(MATCH(F20,'17_코드북'!$A$6:$A$14,0)-1,9))</x:f>
        <x:v>1</x:v>
      </x:c>
      <x:c r="O20" s="12" t="n">
        <x:f>IF(A20="",0,IF(AND(D20&lt;='01_설정'!$B$6,E20&lt;='01_설정'!$B$7),1,0))</x:f>
        <x:v>1</x:v>
      </x:c>
      <x:c r="P20" s="12" t="n">
        <x:f>IF(A20="",0,D20*100000+C20)</x:f>
        <x:v>4621800015</x:v>
      </x:c>
      <x:c r="Q20" s="12" t="n">
        <x:f>IF(O20=0,0,IF(OR(R20=0,N20&lt;&gt;SUMIFS('13_검토이력'!$N$6:$N$305,'13_검토이력'!$P$6:$P$305,R20)),1,0))</x:f>
        <x:v>1</x:v>
      </x:c>
      <x:c r="R20" s="12" t="n">
        <x:f>IF(O20=0,0,_xlfn.MAXIFS('13_검토이력'!$P$6:$P$305,'13_검토이력'!$B$6:$B$305,B20,'13_검토이력'!$P$6:$P$305,"&lt;"&amp;P20,'13_검토이력'!$O$6:$O$305,1))</x:f>
        <x:v>0</x:v>
      </x:c>
      <x:c r="S20" s="12" t="n">
        <x:f>IF(A20="",0,IF(OR(H20=TRUE,H20="TRUE",H20="true"),1,0))</x:f>
        <x:v>0</x:v>
      </x:c>
    </x:row>
    <x:row r="21" ht="20" customHeight="1">
      <x:c r="A21" s="22" t="str">
        <x:v>DEMO-E016</x:v>
      </x:c>
      <x:c r="B21" s="22" t="str">
        <x:v>DEMO-A006</x:v>
      </x:c>
      <x:c r="C21" s="22" t="n">
        <x:v>16</x:v>
      </x:c>
      <x:c r="D21" s="28" t="n">
        <x:v>46235</x:v>
      </x:c>
      <x:c r="E21" s="28" t="n">
        <x:v>46235</x:v>
      </x:c>
      <x:c r="F21" s="22" t="str">
        <x:v>review</x:v>
      </x:c>
      <x:c r="G21" s="22" t="str">
        <x:v>transition</x:v>
      </x:c>
      <x:c r="H21" s="30" t="b">
        <x:v>0</x:v>
      </x:c>
      <x:c r="I21" s="26" t="str">
        <x:v>합성 예시: 관장기관 검토</x:v>
      </x:c>
      <x:c r="J21" s="22" t="str">
        <x:v>DEMO-INTERNAL</x:v>
      </x:c>
      <x:c r="K21" s="26" t="str">
        <x:v>테스트용 이력; 실제 행정처분 아님</x:v>
      </x:c>
      <x:c r="L21" s="26" t="str">
        <x:v>다음 단계 확인</x:v>
      </x:c>
      <x:c r="M21" s="28"/>
      <x:c r="N21" s="12" t="n">
        <x:f>IF(A21="",0,IFERROR(MATCH(F21,'17_코드북'!$A$6:$A$14,0)-1,9))</x:f>
        <x:v>2</x:v>
      </x:c>
      <x:c r="O21" s="12" t="n">
        <x:f>IF(A21="",0,IF(AND(D21&lt;='01_설정'!$B$6,E21&lt;='01_설정'!$B$7),1,0))</x:f>
        <x:v>1</x:v>
      </x:c>
      <x:c r="P21" s="12" t="n">
        <x:f>IF(A21="",0,D21*100000+C21)</x:f>
        <x:v>4623500016</x:v>
      </x:c>
      <x:c r="Q21" s="12" t="n">
        <x:f>IF(O21=0,0,IF(OR(R21=0,N21&lt;&gt;SUMIFS('13_검토이력'!$N$6:$N$305,'13_검토이력'!$P$6:$P$305,R21)),1,0))</x:f>
        <x:v>1</x:v>
      </x:c>
      <x:c r="R21" s="12" t="n">
        <x:f>IF(O21=0,0,_xlfn.MAXIFS('13_검토이력'!$P$6:$P$305,'13_검토이력'!$B$6:$B$305,B21,'13_검토이력'!$P$6:$P$305,"&lt;"&amp;P21,'13_검토이력'!$O$6:$O$305,1))</x:f>
        <x:v>4621800015</x:v>
      </x:c>
      <x:c r="S21" s="12" t="n">
        <x:f>IF(A21="",0,IF(OR(H21=TRUE,H21="TRUE",H21="true"),1,0))</x:f>
        <x:v>0</x:v>
      </x:c>
    </x:row>
    <x:row r="22" ht="20" customHeight="1">
      <x:c r="A22" s="22" t="str">
        <x:v>DEMO-E017</x:v>
      </x:c>
      <x:c r="B22" s="22" t="str">
        <x:v>DEMO-A006</x:v>
      </x:c>
      <x:c r="C22" s="22" t="n">
        <x:v>17</x:v>
      </x:c>
      <x:c r="D22" s="28" t="n">
        <x:v>46259</x:v>
      </x:c>
      <x:c r="E22" s="28" t="n">
        <x:v>46259</x:v>
      </x:c>
      <x:c r="F22" s="22" t="str">
        <x:v>withdrawn</x:v>
      </x:c>
      <x:c r="G22" s="22" t="str">
        <x:v>transition</x:v>
      </x:c>
      <x:c r="H22" s="30" t="b">
        <x:v>0</x:v>
      </x:c>
      <x:c r="I22" s="26" t="str">
        <x:v>합성 예시: 철회</x:v>
      </x:c>
      <x:c r="J22" s="22" t="str">
        <x:v>DEMO-INTERNAL</x:v>
      </x:c>
      <x:c r="K22" s="26" t="str">
        <x:v>테스트용 이력; 실제 행정처분 아님</x:v>
      </x:c>
      <x:c r="L22" s="26" t="str"/>
      <x:c r="M22" s="28"/>
      <x:c r="N22" s="12" t="n">
        <x:f>IF(A22="",0,IFERROR(MATCH(F22,'17_코드북'!$A$6:$A$14,0)-1,9))</x:f>
        <x:v>8</x:v>
      </x:c>
      <x:c r="O22" s="12" t="n">
        <x:f>IF(A22="",0,IF(AND(D22&lt;='01_설정'!$B$6,E22&lt;='01_설정'!$B$7),1,0))</x:f>
        <x:v>1</x:v>
      </x:c>
      <x:c r="P22" s="12" t="n">
        <x:f>IF(A22="",0,D22*100000+C22)</x:f>
        <x:v>4625900017</x:v>
      </x:c>
      <x:c r="Q22" s="12" t="n">
        <x:f>IF(O22=0,0,IF(OR(R22=0,N22&lt;&gt;SUMIFS('13_검토이력'!$N$6:$N$305,'13_검토이력'!$P$6:$P$305,R22)),1,0))</x:f>
        <x:v>1</x:v>
      </x:c>
      <x:c r="R22" s="12" t="n">
        <x:f>IF(O22=0,0,_xlfn.MAXIFS('13_검토이력'!$P$6:$P$305,'13_검토이력'!$B$6:$B$305,B22,'13_검토이력'!$P$6:$P$305,"&lt;"&amp;P22,'13_검토이력'!$O$6:$O$305,1))</x:f>
        <x:v>4623500016</x:v>
      </x:c>
      <x:c r="S22" s="12" t="n">
        <x:f>IF(A22="",0,IF(OR(H22=TRUE,H22="TRUE",H22="true"),1,0))</x:f>
        <x:v>0</x:v>
      </x:c>
    </x:row>
    <x:row r="23" ht="20" customHeight="1">
      <x:c r="A23" s="22" t="str">
        <x:v>DEMO-E018</x:v>
      </x:c>
      <x:c r="B23" s="22" t="str">
        <x:v>DEMO-A007</x:v>
      </x:c>
      <x:c r="C23" s="22" t="n">
        <x:v>18</x:v>
      </x:c>
      <x:c r="D23" s="28" t="n">
        <x:v>46027</x:v>
      </x:c>
      <x:c r="E23" s="28" t="n">
        <x:v>46027</x:v>
      </x:c>
      <x:c r="F23" s="22" t="str">
        <x:v>submitted</x:v>
      </x:c>
      <x:c r="G23" s="22" t="str">
        <x:v>transition</x:v>
      </x:c>
      <x:c r="H23" s="30" t="b">
        <x:v>0</x:v>
      </x:c>
      <x:c r="I23" s="26" t="str">
        <x:v>합성 예시: 접수</x:v>
      </x:c>
      <x:c r="J23" s="22" t="str">
        <x:v>DEMO-INTERNAL</x:v>
      </x:c>
      <x:c r="K23" s="26" t="str">
        <x:v>테스트용 이력; 실제 행정처분 아님</x:v>
      </x:c>
      <x:c r="L23" s="26" t="str">
        <x:v>다음 단계 확인</x:v>
      </x:c>
      <x:c r="M23" s="28"/>
      <x:c r="N23" s="12" t="n">
        <x:f>IF(A23="",0,IFERROR(MATCH(F23,'17_코드북'!$A$6:$A$14,0)-1,9))</x:f>
        <x:v>1</x:v>
      </x:c>
      <x:c r="O23" s="12" t="n">
        <x:f>IF(A23="",0,IF(AND(D23&lt;='01_설정'!$B$6,E23&lt;='01_설정'!$B$7),1,0))</x:f>
        <x:v>1</x:v>
      </x:c>
      <x:c r="P23" s="12" t="n">
        <x:f>IF(A23="",0,D23*100000+C23)</x:f>
        <x:v>4602700018</x:v>
      </x:c>
      <x:c r="Q23" s="12" t="n">
        <x:f>IF(O23=0,0,IF(OR(R23=0,N23&lt;&gt;SUMIFS('13_검토이력'!$N$6:$N$305,'13_검토이력'!$P$6:$P$305,R23)),1,0))</x:f>
        <x:v>1</x:v>
      </x:c>
      <x:c r="R23" s="12" t="n">
        <x:f>IF(O23=0,0,_xlfn.MAXIFS('13_검토이력'!$P$6:$P$305,'13_검토이력'!$B$6:$B$305,B23,'13_검토이력'!$P$6:$P$305,"&lt;"&amp;P23,'13_검토이력'!$O$6:$O$305,1))</x:f>
        <x:v>0</x:v>
      </x:c>
      <x:c r="S23" s="12" t="n">
        <x:f>IF(A23="",0,IF(OR(H23=TRUE,H23="TRUE",H23="true"),1,0))</x:f>
        <x:v>0</x:v>
      </x:c>
    </x:row>
    <x:row r="24" ht="20" customHeight="1">
      <x:c r="A24" s="22" t="str">
        <x:v>DEMO-E019</x:v>
      </x:c>
      <x:c r="B24" s="22" t="str">
        <x:v>DEMO-A007</x:v>
      </x:c>
      <x:c r="C24" s="22" t="n">
        <x:v>19</x:v>
      </x:c>
      <x:c r="D24" s="28" t="n">
        <x:v>46032</x:v>
      </x:c>
      <x:c r="E24" s="28" t="n">
        <x:v>46032</x:v>
      </x:c>
      <x:c r="F24" s="22" t="str">
        <x:v>review</x:v>
      </x:c>
      <x:c r="G24" s="22" t="str">
        <x:v>transition</x:v>
      </x:c>
      <x:c r="H24" s="30" t="b">
        <x:v>0</x:v>
      </x:c>
      <x:c r="I24" s="26" t="str">
        <x:v>합성 예시: 관장기관 검토</x:v>
      </x:c>
      <x:c r="J24" s="22" t="str">
        <x:v>DEMO-INTERNAL</x:v>
      </x:c>
      <x:c r="K24" s="26" t="str">
        <x:v>테스트용 이력; 실제 행정처분 아님</x:v>
      </x:c>
      <x:c r="L24" s="26" t="str">
        <x:v>다음 단계 확인</x:v>
      </x:c>
      <x:c r="M24" s="28"/>
      <x:c r="N24" s="12" t="n">
        <x:f>IF(A24="",0,IFERROR(MATCH(F24,'17_코드북'!$A$6:$A$14,0)-1,9))</x:f>
        <x:v>2</x:v>
      </x:c>
      <x:c r="O24" s="12" t="n">
        <x:f>IF(A24="",0,IF(AND(D24&lt;='01_설정'!$B$6,E24&lt;='01_설정'!$B$7),1,0))</x:f>
        <x:v>1</x:v>
      </x:c>
      <x:c r="P24" s="12" t="n">
        <x:f>IF(A24="",0,D24*100000+C24)</x:f>
        <x:v>4603200019</x:v>
      </x:c>
      <x:c r="Q24" s="12" t="n">
        <x:f>IF(O24=0,0,IF(OR(R24=0,N24&lt;&gt;SUMIFS('13_검토이력'!$N$6:$N$305,'13_검토이력'!$P$6:$P$305,R24)),1,0))</x:f>
        <x:v>1</x:v>
      </x:c>
      <x:c r="R24" s="12" t="n">
        <x:f>IF(O24=0,0,_xlfn.MAXIFS('13_검토이력'!$P$6:$P$305,'13_검토이력'!$B$6:$B$305,B24,'13_검토이력'!$P$6:$P$305,"&lt;"&amp;P24,'13_검토이력'!$O$6:$O$305,1))</x:f>
        <x:v>4602700018</x:v>
      </x:c>
      <x:c r="S24" s="12" t="n">
        <x:f>IF(A24="",0,IF(OR(H24=TRUE,H24="TRUE",H24="true"),1,0))</x:f>
        <x:v>0</x:v>
      </x:c>
    </x:row>
    <x:row r="25" ht="20" customHeight="1">
      <x:c r="A25" s="22" t="str">
        <x:v>DEMO-E020</x:v>
      </x:c>
      <x:c r="B25" s="22" t="str">
        <x:v>DEMO-A007</x:v>
      </x:c>
      <x:c r="C25" s="22" t="n">
        <x:v>20</x:v>
      </x:c>
      <x:c r="D25" s="28" t="n">
        <x:v>46052</x:v>
      </x:c>
      <x:c r="E25" s="28" t="n">
        <x:v>46052</x:v>
      </x:c>
      <x:c r="F25" s="22" t="str">
        <x:v>approved</x:v>
      </x:c>
      <x:c r="G25" s="22" t="str">
        <x:v>transition</x:v>
      </x:c>
      <x:c r="H25" s="30" t="b">
        <x:v>0</x:v>
      </x:c>
      <x:c r="I25" s="26" t="str">
        <x:v>합성 예시: 승인·등록대기</x:v>
      </x:c>
      <x:c r="J25" s="22" t="str">
        <x:v>DEMO-INTERNAL</x:v>
      </x:c>
      <x:c r="K25" s="26" t="str">
        <x:v>테스트용 이력; 실제 행정처분 아님</x:v>
      </x:c>
      <x:c r="L25" s="26" t="str">
        <x:v>다음 단계 확인</x:v>
      </x:c>
      <x:c r="M25" s="28"/>
      <x:c r="N25" s="12" t="n">
        <x:f>IF(A25="",0,IFERROR(MATCH(F25,'17_코드북'!$A$6:$A$14,0)-1,9))</x:f>
        <x:v>5</x:v>
      </x:c>
      <x:c r="O25" s="12" t="n">
        <x:f>IF(A25="",0,IF(AND(D25&lt;='01_설정'!$B$6,E25&lt;='01_설정'!$B$7),1,0))</x:f>
        <x:v>1</x:v>
      </x:c>
      <x:c r="P25" s="12" t="n">
        <x:f>IF(A25="",0,D25*100000+C25)</x:f>
        <x:v>4605200020</x:v>
      </x:c>
      <x:c r="Q25" s="12" t="n">
        <x:f>IF(O25=0,0,IF(OR(R25=0,N25&lt;&gt;SUMIFS('13_검토이력'!$N$6:$N$305,'13_검토이력'!$P$6:$P$305,R25)),1,0))</x:f>
        <x:v>1</x:v>
      </x:c>
      <x:c r="R25" s="12" t="n">
        <x:f>IF(O25=0,0,_xlfn.MAXIFS('13_검토이력'!$P$6:$P$305,'13_검토이력'!$B$6:$B$305,B25,'13_검토이력'!$P$6:$P$305,"&lt;"&amp;P25,'13_검토이력'!$O$6:$O$305,1))</x:f>
        <x:v>4603200019</x:v>
      </x:c>
      <x:c r="S25" s="12" t="n">
        <x:f>IF(A25="",0,IF(OR(H25=TRUE,H25="TRUE",H25="true"),1,0))</x:f>
        <x:v>0</x:v>
      </x:c>
    </x:row>
    <x:row r="26" ht="20" customHeight="1">
      <x:c r="A26" s="22" t="str">
        <x:v>DEMO-E021</x:v>
      </x:c>
      <x:c r="B26" s="22" t="str">
        <x:v>DEMO-A007</x:v>
      </x:c>
      <x:c r="C26" s="22" t="n">
        <x:v>21</x:v>
      </x:c>
      <x:c r="D26" s="28" t="n">
        <x:v>46065</x:v>
      </x:c>
      <x:c r="E26" s="28" t="n">
        <x:v>46065</x:v>
      </x:c>
      <x:c r="F26" s="22" t="str">
        <x:v>registered</x:v>
      </x:c>
      <x:c r="G26" s="22" t="str">
        <x:v>transition</x:v>
      </x:c>
      <x:c r="H26" s="30" t="b">
        <x:v>0</x:v>
      </x:c>
      <x:c r="I26" s="26" t="str">
        <x:v>합성 예시: 등록 완료</x:v>
      </x:c>
      <x:c r="J26" s="22" t="str">
        <x:v>DEMO-INTERNAL</x:v>
      </x:c>
      <x:c r="K26" s="26" t="str">
        <x:v>테스트용 이력; 실제 행정처분 아님</x:v>
      </x:c>
      <x:c r="L26" s="26" t="str"/>
      <x:c r="M26" s="28"/>
      <x:c r="N26" s="12" t="n">
        <x:f>IF(A26="",0,IFERROR(MATCH(F26,'17_코드북'!$A$6:$A$14,0)-1,9))</x:f>
        <x:v>6</x:v>
      </x:c>
      <x:c r="O26" s="12" t="n">
        <x:f>IF(A26="",0,IF(AND(D26&lt;='01_설정'!$B$6,E26&lt;='01_설정'!$B$7),1,0))</x:f>
        <x:v>1</x:v>
      </x:c>
      <x:c r="P26" s="12" t="n">
        <x:f>IF(A26="",0,D26*100000+C26)</x:f>
        <x:v>4606500021</x:v>
      </x:c>
      <x:c r="Q26" s="12" t="n">
        <x:f>IF(O26=0,0,IF(OR(R26=0,N26&lt;&gt;SUMIFS('13_검토이력'!$N$6:$N$305,'13_검토이력'!$P$6:$P$305,R26)),1,0))</x:f>
        <x:v>1</x:v>
      </x:c>
      <x:c r="R26" s="12" t="n">
        <x:f>IF(O26=0,0,_xlfn.MAXIFS('13_검토이력'!$P$6:$P$305,'13_검토이력'!$B$6:$B$305,B26,'13_검토이력'!$P$6:$P$305,"&lt;"&amp;P26,'13_검토이력'!$O$6:$O$305,1))</x:f>
        <x:v>4605200020</x:v>
      </x:c>
      <x:c r="S26" s="12" t="n">
        <x:f>IF(A26="",0,IF(OR(H26=TRUE,H26="TRUE",H26="true"),1,0))</x:f>
        <x:v>0</x:v>
      </x:c>
    </x:row>
    <x:row r="27" ht="20" customHeight="1">
      <x:c r="A27" s="22" t="str">
        <x:v>DEMO-E022</x:v>
      </x:c>
      <x:c r="B27" s="22" t="str">
        <x:v>DEMO-A008</x:v>
      </x:c>
      <x:c r="C27" s="22" t="n">
        <x:v>22</x:v>
      </x:c>
      <x:c r="D27" s="28" t="n">
        <x:v>46113</x:v>
      </x:c>
      <x:c r="E27" s="28" t="n">
        <x:v>46113</x:v>
      </x:c>
      <x:c r="F27" s="22" t="str">
        <x:v>submitted</x:v>
      </x:c>
      <x:c r="G27" s="22" t="str">
        <x:v>transition</x:v>
      </x:c>
      <x:c r="H27" s="30" t="b">
        <x:v>0</x:v>
      </x:c>
      <x:c r="I27" s="26" t="str">
        <x:v>합성 예시: 접수</x:v>
      </x:c>
      <x:c r="J27" s="22" t="str">
        <x:v>DEMO-INTERNAL</x:v>
      </x:c>
      <x:c r="K27" s="26" t="str">
        <x:v>테스트용 이력; 실제 행정처분 아님</x:v>
      </x:c>
      <x:c r="L27" s="26" t="str">
        <x:v>다음 단계 확인</x:v>
      </x:c>
      <x:c r="M27" s="28"/>
      <x:c r="N27" s="12" t="n">
        <x:f>IF(A27="",0,IFERROR(MATCH(F27,'17_코드북'!$A$6:$A$14,0)-1,9))</x:f>
        <x:v>1</x:v>
      </x:c>
      <x:c r="O27" s="12" t="n">
        <x:f>IF(A27="",0,IF(AND(D27&lt;='01_설정'!$B$6,E27&lt;='01_설정'!$B$7),1,0))</x:f>
        <x:v>1</x:v>
      </x:c>
      <x:c r="P27" s="12" t="n">
        <x:f>IF(A27="",0,D27*100000+C27)</x:f>
        <x:v>4611300022</x:v>
      </x:c>
      <x:c r="Q27" s="12" t="n">
        <x:f>IF(O27=0,0,IF(OR(R27=0,N27&lt;&gt;SUMIFS('13_검토이력'!$N$6:$N$305,'13_검토이력'!$P$6:$P$305,R27)),1,0))</x:f>
        <x:v>1</x:v>
      </x:c>
      <x:c r="R27" s="12" t="n">
        <x:f>IF(O27=0,0,_xlfn.MAXIFS('13_검토이력'!$P$6:$P$305,'13_검토이력'!$B$6:$B$305,B27,'13_검토이력'!$P$6:$P$305,"&lt;"&amp;P27,'13_검토이력'!$O$6:$O$305,1))</x:f>
        <x:v>0</x:v>
      </x:c>
      <x:c r="S27" s="12" t="n">
        <x:f>IF(A27="",0,IF(OR(H27=TRUE,H27="TRUE",H27="true"),1,0))</x:f>
        <x:v>0</x:v>
      </x:c>
    </x:row>
    <x:row r="28" ht="20" customHeight="1">
      <x:c r="A28" s="22" t="str">
        <x:v>DEMO-E023</x:v>
      </x:c>
      <x:c r="B28" s="22" t="str">
        <x:v>DEMO-A008</x:v>
      </x:c>
      <x:c r="C28" s="22" t="n">
        <x:v>23</x:v>
      </x:c>
      <x:c r="D28" s="28" t="n">
        <x:v>46116</x:v>
      </x:c>
      <x:c r="E28" s="28" t="n">
        <x:v>46116</x:v>
      </x:c>
      <x:c r="F28" s="22" t="str">
        <x:v>review</x:v>
      </x:c>
      <x:c r="G28" s="22" t="str">
        <x:v>transition</x:v>
      </x:c>
      <x:c r="H28" s="30" t="b">
        <x:v>0</x:v>
      </x:c>
      <x:c r="I28" s="26" t="str">
        <x:v>합성 예시: 관장기관 검토</x:v>
      </x:c>
      <x:c r="J28" s="22" t="str">
        <x:v>DEMO-INTERNAL</x:v>
      </x:c>
      <x:c r="K28" s="26" t="str">
        <x:v>테스트용 이력; 실제 행정처분 아님</x:v>
      </x:c>
      <x:c r="L28" s="26" t="str">
        <x:v>다음 단계 확인</x:v>
      </x:c>
      <x:c r="M28" s="28"/>
      <x:c r="N28" s="12" t="n">
        <x:f>IF(A28="",0,IFERROR(MATCH(F28,'17_코드북'!$A$6:$A$14,0)-1,9))</x:f>
        <x:v>2</x:v>
      </x:c>
      <x:c r="O28" s="12" t="n">
        <x:f>IF(A28="",0,IF(AND(D28&lt;='01_설정'!$B$6,E28&lt;='01_설정'!$B$7),1,0))</x:f>
        <x:v>1</x:v>
      </x:c>
      <x:c r="P28" s="12" t="n">
        <x:f>IF(A28="",0,D28*100000+C28)</x:f>
        <x:v>4611600023</x:v>
      </x:c>
      <x:c r="Q28" s="12" t="n">
        <x:f>IF(O28=0,0,IF(OR(R28=0,N28&lt;&gt;SUMIFS('13_검토이력'!$N$6:$N$305,'13_검토이력'!$P$6:$P$305,R28)),1,0))</x:f>
        <x:v>1</x:v>
      </x:c>
      <x:c r="R28" s="12" t="n">
        <x:f>IF(O28=0,0,_xlfn.MAXIFS('13_검토이력'!$P$6:$P$305,'13_검토이력'!$B$6:$B$305,B28,'13_검토이력'!$P$6:$P$305,"&lt;"&amp;P28,'13_검토이력'!$O$6:$O$305,1))</x:f>
        <x:v>4611300022</x:v>
      </x:c>
      <x:c r="S28" s="12" t="n">
        <x:f>IF(A28="",0,IF(OR(H28=TRUE,H28="TRUE",H28="true"),1,0))</x:f>
        <x:v>0</x:v>
      </x:c>
    </x:row>
    <x:row r="29" ht="20" customHeight="1">
      <x:c r="A29" s="22" t="str">
        <x:v>DEMO-E024</x:v>
      </x:c>
      <x:c r="B29" s="22" t="str">
        <x:v>DEMO-A008</x:v>
      </x:c>
      <x:c r="C29" s="22" t="n">
        <x:v>24</x:v>
      </x:c>
      <x:c r="D29" s="28" t="n">
        <x:v>46174</x:v>
      </x:c>
      <x:c r="E29" s="28" t="n">
        <x:v>46174</x:v>
      </x:c>
      <x:c r="F29" s="22" t="str">
        <x:v>rejected</x:v>
      </x:c>
      <x:c r="G29" s="22" t="str">
        <x:v>transition</x:v>
      </x:c>
      <x:c r="H29" s="30" t="b">
        <x:v>0</x:v>
      </x:c>
      <x:c r="I29" s="26" t="str">
        <x:v>합성 예시: 반려·불승인</x:v>
      </x:c>
      <x:c r="J29" s="22" t="str">
        <x:v>DEMO-INTERNAL</x:v>
      </x:c>
      <x:c r="K29" s="26" t="str">
        <x:v>테스트용 이력; 실제 행정처분 아님</x:v>
      </x:c>
      <x:c r="L29" s="26" t="str"/>
      <x:c r="M29" s="28"/>
      <x:c r="N29" s="12" t="n">
        <x:f>IF(A29="",0,IFERROR(MATCH(F29,'17_코드북'!$A$6:$A$14,0)-1,9))</x:f>
        <x:v>7</x:v>
      </x:c>
      <x:c r="O29" s="12" t="n">
        <x:f>IF(A29="",0,IF(AND(D29&lt;='01_설정'!$B$6,E29&lt;='01_설정'!$B$7),1,0))</x:f>
        <x:v>1</x:v>
      </x:c>
      <x:c r="P29" s="12" t="n">
        <x:f>IF(A29="",0,D29*100000+C29)</x:f>
        <x:v>4617400024</x:v>
      </x:c>
      <x:c r="Q29" s="12" t="n">
        <x:f>IF(O29=0,0,IF(OR(R29=0,N29&lt;&gt;SUMIFS('13_검토이력'!$N$6:$N$305,'13_검토이력'!$P$6:$P$305,R29)),1,0))</x:f>
        <x:v>1</x:v>
      </x:c>
      <x:c r="R29" s="12" t="n">
        <x:f>IF(O29=0,0,_xlfn.MAXIFS('13_검토이력'!$P$6:$P$305,'13_검토이력'!$B$6:$B$305,B29,'13_검토이력'!$P$6:$P$305,"&lt;"&amp;P29,'13_검토이력'!$O$6:$O$305,1))</x:f>
        <x:v>4611600023</x:v>
      </x:c>
      <x:c r="S29" s="12" t="n">
        <x:f>IF(A29="",0,IF(OR(H29=TRUE,H29="TRUE",H29="true"),1,0))</x:f>
        <x:v>0</x:v>
      </x:c>
    </x:row>
    <x:row r="30" ht="20" customHeight="1">
      <x:c r="A30" s="22" t="str">
        <x:v>DEMO-E025</x:v>
      </x:c>
      <x:c r="B30" s="22" t="str">
        <x:v>DEMO-A009</x:v>
      </x:c>
      <x:c r="C30" s="22" t="n">
        <x:v>25</x:v>
      </x:c>
      <x:c r="D30" s="28" t="n">
        <x:v>46285</x:v>
      </x:c>
      <x:c r="E30" s="28" t="n">
        <x:v>46285</x:v>
      </x:c>
      <x:c r="F30" s="22" t="str">
        <x:v>submitted</x:v>
      </x:c>
      <x:c r="G30" s="22" t="str">
        <x:v>transition</x:v>
      </x:c>
      <x:c r="H30" s="30" t="b">
        <x:v>0</x:v>
      </x:c>
      <x:c r="I30" s="26" t="str">
        <x:v>합성 예시: 접수</x:v>
      </x:c>
      <x:c r="J30" s="22" t="str">
        <x:v>DEMO-INTERNAL</x:v>
      </x:c>
      <x:c r="K30" s="26" t="str">
        <x:v>테스트용 이력; 실제 행정처분 아님</x:v>
      </x:c>
      <x:c r="L30" s="26" t="str">
        <x:v>다음 단계 확인</x:v>
      </x:c>
      <x:c r="M30" s="28"/>
      <x:c r="N30" s="12" t="n">
        <x:f>IF(A30="",0,IFERROR(MATCH(F30,'17_코드북'!$A$6:$A$14,0)-1,9))</x:f>
        <x:v>1</x:v>
      </x:c>
      <x:c r="O30" s="12" t="n">
        <x:f>IF(A30="",0,IF(AND(D30&lt;='01_설정'!$B$6,E30&lt;='01_설정'!$B$7),1,0))</x:f>
        <x:v>1</x:v>
      </x:c>
      <x:c r="P30" s="12" t="n">
        <x:f>IF(A30="",0,D30*100000+C30)</x:f>
        <x:v>4628500025</x:v>
      </x:c>
      <x:c r="Q30" s="12" t="n">
        <x:f>IF(O30=0,0,IF(OR(R30=0,N30&lt;&gt;SUMIFS('13_검토이력'!$N$6:$N$305,'13_검토이력'!$P$6:$P$305,R30)),1,0))</x:f>
        <x:v>1</x:v>
      </x:c>
      <x:c r="R30" s="12" t="n">
        <x:f>IF(O30=0,0,_xlfn.MAXIFS('13_검토이력'!$P$6:$P$305,'13_검토이력'!$B$6:$B$305,B30,'13_검토이력'!$P$6:$P$305,"&lt;"&amp;P30,'13_검토이력'!$O$6:$O$305,1))</x:f>
        <x:v>0</x:v>
      </x:c>
      <x:c r="S30" s="12" t="n">
        <x:f>IF(A30="",0,IF(OR(H30=TRUE,H30="TRUE",H30="true"),1,0))</x:f>
        <x:v>0</x:v>
      </x:c>
    </x:row>
    <x:row r="31" ht="20" customHeight="1">
      <x:c r="A31" s="22" t="str">
        <x:v>DEMO-E026</x:v>
      </x:c>
      <x:c r="B31" s="22" t="str">
        <x:v>DEMO-A009</x:v>
      </x:c>
      <x:c r="C31" s="22" t="n">
        <x:v>26</x:v>
      </x:c>
      <x:c r="D31" s="28" t="n">
        <x:v>46290</x:v>
      </x:c>
      <x:c r="E31" s="28" t="n">
        <x:v>46290</x:v>
      </x:c>
      <x:c r="F31" s="22" t="str">
        <x:v>review</x:v>
      </x:c>
      <x:c r="G31" s="22" t="str">
        <x:v>transition</x:v>
      </x:c>
      <x:c r="H31" s="30" t="b">
        <x:v>0</x:v>
      </x:c>
      <x:c r="I31" s="26" t="str">
        <x:v>합성 예시: 관장기관 검토</x:v>
      </x:c>
      <x:c r="J31" s="22" t="str">
        <x:v>DEMO-INTERNAL</x:v>
      </x:c>
      <x:c r="K31" s="26" t="str">
        <x:v>테스트용 이력; 실제 행정처분 아님</x:v>
      </x:c>
      <x:c r="L31" s="26" t="str">
        <x:v>다음 단계 확인</x:v>
      </x:c>
      <x:c r="M31" s="28"/>
      <x:c r="N31" s="12" t="n">
        <x:f>IF(A31="",0,IFERROR(MATCH(F31,'17_코드북'!$A$6:$A$14,0)-1,9))</x:f>
        <x:v>2</x:v>
      </x:c>
      <x:c r="O31" s="12" t="n">
        <x:f>IF(A31="",0,IF(AND(D31&lt;='01_설정'!$B$6,E31&lt;='01_설정'!$B$7),1,0))</x:f>
        <x:v>1</x:v>
      </x:c>
      <x:c r="P31" s="12" t="n">
        <x:f>IF(A31="",0,D31*100000+C31)</x:f>
        <x:v>4629000026</x:v>
      </x:c>
      <x:c r="Q31" s="12" t="n">
        <x:f>IF(O31=0,0,IF(OR(R31=0,N31&lt;&gt;SUMIFS('13_검토이력'!$N$6:$N$305,'13_검토이력'!$P$6:$P$305,R31)),1,0))</x:f>
        <x:v>1</x:v>
      </x:c>
      <x:c r="R31" s="12" t="n">
        <x:f>IF(O31=0,0,_xlfn.MAXIFS('13_검토이력'!$P$6:$P$305,'13_검토이력'!$B$6:$B$305,B31,'13_검토이력'!$P$6:$P$305,"&lt;"&amp;P31,'13_검토이력'!$O$6:$O$305,1))</x:f>
        <x:v>4628500025</x:v>
      </x:c>
      <x:c r="S31" s="12" t="n">
        <x:f>IF(A31="",0,IF(OR(H31=TRUE,H31="TRUE",H31="true"),1,0))</x:f>
        <x:v>0</x:v>
      </x:c>
    </x:row>
    <x:row r="32" ht="20" customHeight="1">
      <x:c r="A32" s="22" t="str">
        <x:v>DEMO-E027</x:v>
      </x:c>
      <x:c r="B32" s="22" t="str">
        <x:v>DEMO-A010</x:v>
      </x:c>
      <x:c r="C32" s="22" t="n">
        <x:v>27</x:v>
      </x:c>
      <x:c r="D32" s="28" t="n">
        <x:v>46266</x:v>
      </x:c>
      <x:c r="E32" s="28" t="n">
        <x:v>46266</x:v>
      </x:c>
      <x:c r="F32" s="22" t="str">
        <x:v>submitted</x:v>
      </x:c>
      <x:c r="G32" s="22" t="str">
        <x:v>transition</x:v>
      </x:c>
      <x:c r="H32" s="30" t="b">
        <x:v>0</x:v>
      </x:c>
      <x:c r="I32" s="26" t="str">
        <x:v>합성 예시: 접수</x:v>
      </x:c>
      <x:c r="J32" s="22" t="str">
        <x:v>DEMO-INTERNAL</x:v>
      </x:c>
      <x:c r="K32" s="26" t="str">
        <x:v>테스트용 이력; 실제 행정처분 아님</x:v>
      </x:c>
      <x:c r="L32" s="26" t="str">
        <x:v>다음 단계 확인</x:v>
      </x:c>
      <x:c r="M32" s="28"/>
      <x:c r="N32" s="12" t="n">
        <x:f>IF(A32="",0,IFERROR(MATCH(F32,'17_코드북'!$A$6:$A$14,0)-1,9))</x:f>
        <x:v>1</x:v>
      </x:c>
      <x:c r="O32" s="12" t="n">
        <x:f>IF(A32="",0,IF(AND(D32&lt;='01_설정'!$B$6,E32&lt;='01_설정'!$B$7),1,0))</x:f>
        <x:v>1</x:v>
      </x:c>
      <x:c r="P32" s="12" t="n">
        <x:f>IF(A32="",0,D32*100000+C32)</x:f>
        <x:v>4626600027</x:v>
      </x:c>
      <x:c r="Q32" s="12" t="n">
        <x:f>IF(O32=0,0,IF(OR(R32=0,N32&lt;&gt;SUMIFS('13_검토이력'!$N$6:$N$305,'13_검토이력'!$P$6:$P$305,R32)),1,0))</x:f>
        <x:v>1</x:v>
      </x:c>
      <x:c r="R32" s="12" t="n">
        <x:f>IF(O32=0,0,_xlfn.MAXIFS('13_검토이력'!$P$6:$P$305,'13_검토이력'!$B$6:$B$305,B32,'13_검토이력'!$P$6:$P$305,"&lt;"&amp;P32,'13_검토이력'!$O$6:$O$305,1))</x:f>
        <x:v>0</x:v>
      </x:c>
      <x:c r="S32" s="12" t="n">
        <x:f>IF(A32="",0,IF(OR(H32=TRUE,H32="TRUE",H32="true"),1,0))</x:f>
        <x:v>0</x:v>
      </x:c>
    </x:row>
    <x:row r="33" ht="20" customHeight="1">
      <x:c r="A33" s="22" t="str">
        <x:v>DEMO-E028</x:v>
      </x:c>
      <x:c r="B33" s="22" t="str">
        <x:v>DEMO-A010</x:v>
      </x:c>
      <x:c r="C33" s="22" t="n">
        <x:v>28</x:v>
      </x:c>
      <x:c r="D33" s="28" t="n">
        <x:v>46269</x:v>
      </x:c>
      <x:c r="E33" s="28" t="n">
        <x:v>46269</x:v>
      </x:c>
      <x:c r="F33" s="22" t="str">
        <x:v>review</x:v>
      </x:c>
      <x:c r="G33" s="22" t="str">
        <x:v>transition</x:v>
      </x:c>
      <x:c r="H33" s="30" t="b">
        <x:v>0</x:v>
      </x:c>
      <x:c r="I33" s="26" t="str">
        <x:v>합성 예시: 관장기관 검토</x:v>
      </x:c>
      <x:c r="J33" s="22" t="str">
        <x:v>DEMO-INTERNAL</x:v>
      </x:c>
      <x:c r="K33" s="26" t="str">
        <x:v>테스트용 이력; 실제 행정처분 아님</x:v>
      </x:c>
      <x:c r="L33" s="26" t="str">
        <x:v>다음 단계 확인</x:v>
      </x:c>
      <x:c r="M33" s="28"/>
      <x:c r="N33" s="12" t="n">
        <x:f>IF(A33="",0,IFERROR(MATCH(F33,'17_코드북'!$A$6:$A$14,0)-1,9))</x:f>
        <x:v>2</x:v>
      </x:c>
      <x:c r="O33" s="12" t="n">
        <x:f>IF(A33="",0,IF(AND(D33&lt;='01_설정'!$B$6,E33&lt;='01_설정'!$B$7),1,0))</x:f>
        <x:v>1</x:v>
      </x:c>
      <x:c r="P33" s="12" t="n">
        <x:f>IF(A33="",0,D33*100000+C33)</x:f>
        <x:v>4626900028</x:v>
      </x:c>
      <x:c r="Q33" s="12" t="n">
        <x:f>IF(O33=0,0,IF(OR(R33=0,N33&lt;&gt;SUMIFS('13_검토이력'!$N$6:$N$305,'13_검토이력'!$P$6:$P$305,R33)),1,0))</x:f>
        <x:v>1</x:v>
      </x:c>
      <x:c r="R33" s="12" t="n">
        <x:f>IF(O33=0,0,_xlfn.MAXIFS('13_검토이력'!$P$6:$P$305,'13_검토이력'!$B$6:$B$305,B33,'13_검토이력'!$P$6:$P$305,"&lt;"&amp;P33,'13_검토이력'!$O$6:$O$305,1))</x:f>
        <x:v>4626600027</x:v>
      </x:c>
      <x:c r="S33" s="12" t="n">
        <x:f>IF(A33="",0,IF(OR(H33=TRUE,H33="TRUE",H33="true"),1,0))</x:f>
        <x:v>0</x:v>
      </x:c>
    </x:row>
    <x:row r="34" ht="20" customHeight="1">
      <x:c r="A34" s="22" t="str">
        <x:v>DEMO-E029</x:v>
      </x:c>
      <x:c r="B34" s="22" t="str">
        <x:v>DEMO-A010</x:v>
      </x:c>
      <x:c r="C34" s="22" t="n">
        <x:v>29</x:v>
      </x:c>
      <x:c r="D34" s="28" t="n">
        <x:v>46277</x:v>
      </x:c>
      <x:c r="E34" s="28" t="n">
        <x:v>46277</x:v>
      </x:c>
      <x:c r="F34" s="22" t="str">
        <x:v>review</x:v>
      </x:c>
      <x:c r="G34" s="22" t="str">
        <x:v>supplement_requested</x:v>
      </x:c>
      <x:c r="H34" s="30" t="b">
        <x:v>1</x:v>
      </x:c>
      <x:c r="I34" s="26" t="str">
        <x:v>합성 예시: 관장기관 검토</x:v>
      </x:c>
      <x:c r="J34" s="22" t="str">
        <x:v>DEMO-INTERNAL</x:v>
      </x:c>
      <x:c r="K34" s="26" t="str">
        <x:v>테스트용 이력; 실제 행정처분 아님</x:v>
      </x:c>
      <x:c r="L34" s="26" t="str">
        <x:v>보완자료 회신 확인</x:v>
      </x:c>
      <x:c r="M34" s="28" t="n">
        <x:v>46315</x:v>
      </x:c>
      <x:c r="N34" s="12" t="n">
        <x:f>IF(A34="",0,IFERROR(MATCH(F34,'17_코드북'!$A$6:$A$14,0)-1,9))</x:f>
        <x:v>2</x:v>
      </x:c>
      <x:c r="O34" s="12" t="n">
        <x:f>IF(A34="",0,IF(AND(D34&lt;='01_설정'!$B$6,E34&lt;='01_설정'!$B$7),1,0))</x:f>
        <x:v>1</x:v>
      </x:c>
      <x:c r="P34" s="12" t="n">
        <x:f>IF(A34="",0,D34*100000+C34)</x:f>
        <x:v>4627700029</x:v>
      </x:c>
      <x:c r="Q34" s="12" t="n">
        <x:f>IF(O34=0,0,IF(OR(R34=0,N34&lt;&gt;SUMIFS('13_검토이력'!$N$6:$N$305,'13_검토이력'!$P$6:$P$305,R34)),1,0))</x:f>
        <x:v>0</x:v>
      </x:c>
      <x:c r="R34" s="12" t="n">
        <x:f>IF(O34=0,0,_xlfn.MAXIFS('13_검토이력'!$P$6:$P$305,'13_검토이력'!$B$6:$B$305,B34,'13_검토이력'!$P$6:$P$305,"&lt;"&amp;P34,'13_검토이력'!$O$6:$O$305,1))</x:f>
        <x:v>4626900028</x:v>
      </x:c>
      <x:c r="S34" s="12" t="n">
        <x:f>IF(A34="",0,IF(OR(H34=TRUE,H34="TRUE",H34="true"),1,0))</x:f>
        <x:v>1</x:v>
      </x:c>
    </x:row>
    <x:row r="35" ht="20" customHeight="1">
      <x:c r="A35" s="22" t="str">
        <x:v>DEMO-E030</x:v>
      </x:c>
      <x:c r="B35" s="22" t="str">
        <x:v>DEMO-A010</x:v>
      </x:c>
      <x:c r="C35" s="22" t="n">
        <x:v>30</x:v>
      </x:c>
      <x:c r="D35" s="28" t="n">
        <x:v>46297</x:v>
      </x:c>
      <x:c r="E35" s="28" t="n">
        <x:v>46297</x:v>
      </x:c>
      <x:c r="F35" s="22" t="str">
        <x:v>review</x:v>
      </x:c>
      <x:c r="G35" s="22" t="str">
        <x:v>supplement_received</x:v>
      </x:c>
      <x:c r="H35" s="30" t="b">
        <x:v>0</x:v>
      </x:c>
      <x:c r="I35" s="26" t="str">
        <x:v>합성 예시: 관장기관 검토</x:v>
      </x:c>
      <x:c r="J35" s="22" t="str">
        <x:v>DEMO-INTERNAL</x:v>
      </x:c>
      <x:c r="K35" s="26" t="str">
        <x:v>테스트용 이력; 실제 행정처분 아님</x:v>
      </x:c>
      <x:c r="L35" s="26" t="str">
        <x:v>다음 단계 확인</x:v>
      </x:c>
      <x:c r="M35" s="28"/>
      <x:c r="N35" s="12" t="n">
        <x:f>IF(A35="",0,IFERROR(MATCH(F35,'17_코드북'!$A$6:$A$14,0)-1,9))</x:f>
        <x:v>2</x:v>
      </x:c>
      <x:c r="O35" s="12" t="n">
        <x:f>IF(A35="",0,IF(AND(D35&lt;='01_설정'!$B$6,E35&lt;='01_설정'!$B$7),1,0))</x:f>
        <x:v>1</x:v>
      </x:c>
      <x:c r="P35" s="12" t="n">
        <x:f>IF(A35="",0,D35*100000+C35)</x:f>
        <x:v>4629700030</x:v>
      </x:c>
      <x:c r="Q35" s="12" t="n">
        <x:f>IF(O35=0,0,IF(OR(R35=0,N35&lt;&gt;SUMIFS('13_검토이력'!$N$6:$N$305,'13_검토이력'!$P$6:$P$305,R35)),1,0))</x:f>
        <x:v>0</x:v>
      </x:c>
      <x:c r="R35" s="12" t="n">
        <x:f>IF(O35=0,0,_xlfn.MAXIFS('13_검토이력'!$P$6:$P$305,'13_검토이력'!$B$6:$B$305,B35,'13_검토이력'!$P$6:$P$305,"&lt;"&amp;P35,'13_검토이력'!$O$6:$O$305,1))</x:f>
        <x:v>4627700029</x:v>
      </x:c>
      <x:c r="S35" s="12" t="n">
        <x:f>IF(A35="",0,IF(OR(H35=TRUE,H35="TRUE",H35="true"),1,0))</x:f>
        <x:v>0</x:v>
      </x:c>
    </x:row>
    <x:row r="36" ht="20" customHeight="1">
      <x:c r="A36" s="22"/>
      <x:c r="B36" s="22"/>
      <x:c r="C36" s="22"/>
      <x:c r="D36" s="28"/>
      <x:c r="E36" s="28"/>
      <x:c r="F36" s="22"/>
      <x:c r="G36" s="22"/>
      <x:c r="H36" s="22"/>
      <x:c r="I36" s="26"/>
      <x:c r="J36" s="22"/>
      <x:c r="K36" s="26"/>
      <x:c r="L36" s="26"/>
      <x:c r="M36" s="28"/>
      <x:c r="N36" s="12" t="n">
        <x:f>IF(A36="",0,IFERROR(MATCH(F36,'17_코드북'!$A$6:$A$14,0)-1,9))</x:f>
        <x:v>0</x:v>
      </x:c>
      <x:c r="O36" s="12" t="n">
        <x:f>IF(A36="",0,IF(AND(D36&lt;='01_설정'!$B$6,E36&lt;='01_설정'!$B$7),1,0))</x:f>
        <x:v>0</x:v>
      </x:c>
      <x:c r="P36" s="12" t="n">
        <x:f>IF(A36="",0,D36*100000+C36)</x:f>
        <x:v>0</x:v>
      </x:c>
      <x:c r="Q36" s="12" t="n">
        <x:f>IF(O36=0,0,IF(OR(R36=0,N36&lt;&gt;SUMIFS('13_검토이력'!$N$6:$N$305,'13_검토이력'!$P$6:$P$305,R36)),1,0))</x:f>
        <x:v>0</x:v>
      </x:c>
      <x:c r="R36" s="12" t="n">
        <x:f>IF(O36=0,0,_xlfn.MAXIFS('13_검토이력'!$P$6:$P$305,'13_검토이력'!$B$6:$B$305,B36,'13_검토이력'!$P$6:$P$305,"&lt;"&amp;P36,'13_검토이력'!$O$6:$O$305,1))</x:f>
        <x:v>0</x:v>
      </x:c>
      <x:c r="S36" s="12" t="n">
        <x:f>IF(A36="",0,IF(OR(H36=TRUE,H36="TRUE",H36="true"),1,0))</x:f>
        <x:v>0</x:v>
      </x:c>
    </x:row>
    <x:row r="37" ht="20" customHeight="1">
      <x:c r="A37" s="22"/>
      <x:c r="B37" s="22"/>
      <x:c r="C37" s="22"/>
      <x:c r="D37" s="28"/>
      <x:c r="E37" s="28"/>
      <x:c r="F37" s="22"/>
      <x:c r="G37" s="22"/>
      <x:c r="H37" s="22"/>
      <x:c r="I37" s="26"/>
      <x:c r="J37" s="22"/>
      <x:c r="K37" s="26"/>
      <x:c r="L37" s="26"/>
      <x:c r="M37" s="28"/>
      <x:c r="N37" s="12" t="n">
        <x:f>IF(A37="",0,IFERROR(MATCH(F37,'17_코드북'!$A$6:$A$14,0)-1,9))</x:f>
        <x:v>0</x:v>
      </x:c>
      <x:c r="O37" s="12" t="n">
        <x:f>IF(A37="",0,IF(AND(D37&lt;='01_설정'!$B$6,E37&lt;='01_설정'!$B$7),1,0))</x:f>
        <x:v>0</x:v>
      </x:c>
      <x:c r="P37" s="12" t="n">
        <x:f>IF(A37="",0,D37*100000+C37)</x:f>
        <x:v>0</x:v>
      </x:c>
      <x:c r="Q37" s="12" t="n">
        <x:f>IF(O37=0,0,IF(OR(R37=0,N37&lt;&gt;SUMIFS('13_검토이력'!$N$6:$N$305,'13_검토이력'!$P$6:$P$305,R37)),1,0))</x:f>
        <x:v>0</x:v>
      </x:c>
      <x:c r="R37" s="12" t="n">
        <x:f>IF(O37=0,0,_xlfn.MAXIFS('13_검토이력'!$P$6:$P$305,'13_검토이력'!$B$6:$B$305,B37,'13_검토이력'!$P$6:$P$305,"&lt;"&amp;P37,'13_검토이력'!$O$6:$O$305,1))</x:f>
        <x:v>0</x:v>
      </x:c>
      <x:c r="S37" s="12" t="n">
        <x:f>IF(A37="",0,IF(OR(H37=TRUE,H37="TRUE",H37="true"),1,0))</x:f>
        <x:v>0</x:v>
      </x:c>
    </x:row>
    <x:row r="38" ht="20" customHeight="1">
      <x:c r="A38" s="22"/>
      <x:c r="B38" s="22"/>
      <x:c r="C38" s="22"/>
      <x:c r="D38" s="28"/>
      <x:c r="E38" s="28"/>
      <x:c r="F38" s="22"/>
      <x:c r="G38" s="22"/>
      <x:c r="H38" s="22"/>
      <x:c r="I38" s="26"/>
      <x:c r="J38" s="22"/>
      <x:c r="K38" s="26"/>
      <x:c r="L38" s="26"/>
      <x:c r="M38" s="28"/>
      <x:c r="N38" s="12" t="n">
        <x:f>IF(A38="",0,IFERROR(MATCH(F38,'17_코드북'!$A$6:$A$14,0)-1,9))</x:f>
        <x:v>0</x:v>
      </x:c>
      <x:c r="O38" s="12" t="n">
        <x:f>IF(A38="",0,IF(AND(D38&lt;='01_설정'!$B$6,E38&lt;='01_설정'!$B$7),1,0))</x:f>
        <x:v>0</x:v>
      </x:c>
      <x:c r="P38" s="12" t="n">
        <x:f>IF(A38="",0,D38*100000+C38)</x:f>
        <x:v>0</x:v>
      </x:c>
      <x:c r="Q38" s="12" t="n">
        <x:f>IF(O38=0,0,IF(OR(R38=0,N38&lt;&gt;SUMIFS('13_검토이력'!$N$6:$N$305,'13_검토이력'!$P$6:$P$305,R38)),1,0))</x:f>
        <x:v>0</x:v>
      </x:c>
      <x:c r="R38" s="12" t="n">
        <x:f>IF(O38=0,0,_xlfn.MAXIFS('13_검토이력'!$P$6:$P$305,'13_검토이력'!$B$6:$B$305,B38,'13_검토이력'!$P$6:$P$305,"&lt;"&amp;P38,'13_검토이력'!$O$6:$O$305,1))</x:f>
        <x:v>0</x:v>
      </x:c>
      <x:c r="S38" s="12" t="n">
        <x:f>IF(A38="",0,IF(OR(H38=TRUE,H38="TRUE",H38="true"),1,0))</x:f>
        <x:v>0</x:v>
      </x:c>
    </x:row>
    <x:row r="39" ht="20" customHeight="1">
      <x:c r="A39" s="22"/>
      <x:c r="B39" s="22"/>
      <x:c r="C39" s="22"/>
      <x:c r="D39" s="28"/>
      <x:c r="E39" s="28"/>
      <x:c r="F39" s="22"/>
      <x:c r="G39" s="22"/>
      <x:c r="H39" s="22"/>
      <x:c r="I39" s="26"/>
      <x:c r="J39" s="22"/>
      <x:c r="K39" s="26"/>
      <x:c r="L39" s="26"/>
      <x:c r="M39" s="28"/>
      <x:c r="N39" s="12" t="n">
        <x:f>IF(A39="",0,IFERROR(MATCH(F39,'17_코드북'!$A$6:$A$14,0)-1,9))</x:f>
        <x:v>0</x:v>
      </x:c>
      <x:c r="O39" s="12" t="n">
        <x:f>IF(A39="",0,IF(AND(D39&lt;='01_설정'!$B$6,E39&lt;='01_설정'!$B$7),1,0))</x:f>
        <x:v>0</x:v>
      </x:c>
      <x:c r="P39" s="12" t="n">
        <x:f>IF(A39="",0,D39*100000+C39)</x:f>
        <x:v>0</x:v>
      </x:c>
      <x:c r="Q39" s="12" t="n">
        <x:f>IF(O39=0,0,IF(OR(R39=0,N39&lt;&gt;SUMIFS('13_검토이력'!$N$6:$N$305,'13_검토이력'!$P$6:$P$305,R39)),1,0))</x:f>
        <x:v>0</x:v>
      </x:c>
      <x:c r="R39" s="12" t="n">
        <x:f>IF(O39=0,0,_xlfn.MAXIFS('13_검토이력'!$P$6:$P$305,'13_검토이력'!$B$6:$B$305,B39,'13_검토이력'!$P$6:$P$305,"&lt;"&amp;P39,'13_검토이력'!$O$6:$O$305,1))</x:f>
        <x:v>0</x:v>
      </x:c>
      <x:c r="S39" s="12" t="n">
        <x:f>IF(A39="",0,IF(OR(H39=TRUE,H39="TRUE",H39="true"),1,0))</x:f>
        <x:v>0</x:v>
      </x:c>
    </x:row>
    <x:row r="40" ht="20" customHeight="1">
      <x:c r="A40" s="22"/>
      <x:c r="B40" s="22"/>
      <x:c r="C40" s="22"/>
      <x:c r="D40" s="28"/>
      <x:c r="E40" s="28"/>
      <x:c r="F40" s="22"/>
      <x:c r="G40" s="22"/>
      <x:c r="H40" s="22"/>
      <x:c r="I40" s="26"/>
      <x:c r="J40" s="22"/>
      <x:c r="K40" s="26"/>
      <x:c r="L40" s="26"/>
      <x:c r="M40" s="28"/>
      <x:c r="N40" s="12" t="n">
        <x:f>IF(A40="",0,IFERROR(MATCH(F40,'17_코드북'!$A$6:$A$14,0)-1,9))</x:f>
        <x:v>0</x:v>
      </x:c>
      <x:c r="O40" s="12" t="n">
        <x:f>IF(A40="",0,IF(AND(D40&lt;='01_설정'!$B$6,E40&lt;='01_설정'!$B$7),1,0))</x:f>
        <x:v>0</x:v>
      </x:c>
      <x:c r="P40" s="12" t="n">
        <x:f>IF(A40="",0,D40*100000+C40)</x:f>
        <x:v>0</x:v>
      </x:c>
      <x:c r="Q40" s="12" t="n">
        <x:f>IF(O40=0,0,IF(OR(R40=0,N40&lt;&gt;SUMIFS('13_검토이력'!$N$6:$N$305,'13_검토이력'!$P$6:$P$305,R40)),1,0))</x:f>
        <x:v>0</x:v>
      </x:c>
      <x:c r="R40" s="12" t="n">
        <x:f>IF(O40=0,0,_xlfn.MAXIFS('13_검토이력'!$P$6:$P$305,'13_검토이력'!$B$6:$B$305,B40,'13_검토이력'!$P$6:$P$305,"&lt;"&amp;P40,'13_검토이력'!$O$6:$O$305,1))</x:f>
        <x:v>0</x:v>
      </x:c>
      <x:c r="S40" s="12" t="n">
        <x:f>IF(A40="",0,IF(OR(H40=TRUE,H40="TRUE",H40="true"),1,0))</x:f>
        <x:v>0</x:v>
      </x:c>
    </x:row>
    <x:row r="41" ht="20" customHeight="1">
      <x:c r="A41" s="22"/>
      <x:c r="B41" s="22"/>
      <x:c r="C41" s="22"/>
      <x:c r="D41" s="28"/>
      <x:c r="E41" s="28"/>
      <x:c r="F41" s="22"/>
      <x:c r="G41" s="22"/>
      <x:c r="H41" s="22"/>
      <x:c r="I41" s="26"/>
      <x:c r="J41" s="22"/>
      <x:c r="K41" s="26"/>
      <x:c r="L41" s="26"/>
      <x:c r="M41" s="28"/>
      <x:c r="N41" s="12" t="n">
        <x:f>IF(A41="",0,IFERROR(MATCH(F41,'17_코드북'!$A$6:$A$14,0)-1,9))</x:f>
        <x:v>0</x:v>
      </x:c>
      <x:c r="O41" s="12" t="n">
        <x:f>IF(A41="",0,IF(AND(D41&lt;='01_설정'!$B$6,E41&lt;='01_설정'!$B$7),1,0))</x:f>
        <x:v>0</x:v>
      </x:c>
      <x:c r="P41" s="12" t="n">
        <x:f>IF(A41="",0,D41*100000+C41)</x:f>
        <x:v>0</x:v>
      </x:c>
      <x:c r="Q41" s="12" t="n">
        <x:f>IF(O41=0,0,IF(OR(R41=0,N41&lt;&gt;SUMIFS('13_검토이력'!$N$6:$N$305,'13_검토이력'!$P$6:$P$305,R41)),1,0))</x:f>
        <x:v>0</x:v>
      </x:c>
      <x:c r="R41" s="12" t="n">
        <x:f>IF(O41=0,0,_xlfn.MAXIFS('13_검토이력'!$P$6:$P$305,'13_검토이력'!$B$6:$B$305,B41,'13_검토이력'!$P$6:$P$305,"&lt;"&amp;P41,'13_검토이력'!$O$6:$O$305,1))</x:f>
        <x:v>0</x:v>
      </x:c>
      <x:c r="S41" s="12" t="n">
        <x:f>IF(A41="",0,IF(OR(H41=TRUE,H41="TRUE",H41="true"),1,0))</x:f>
        <x:v>0</x:v>
      </x:c>
    </x:row>
    <x:row r="42" ht="20" customHeight="1">
      <x:c r="A42" s="22"/>
      <x:c r="B42" s="22"/>
      <x:c r="C42" s="22"/>
      <x:c r="D42" s="28"/>
      <x:c r="E42" s="28"/>
      <x:c r="F42" s="22"/>
      <x:c r="G42" s="22"/>
      <x:c r="H42" s="22"/>
      <x:c r="I42" s="26"/>
      <x:c r="J42" s="22"/>
      <x:c r="K42" s="26"/>
      <x:c r="L42" s="26"/>
      <x:c r="M42" s="28"/>
      <x:c r="N42" s="12" t="n">
        <x:f>IF(A42="",0,IFERROR(MATCH(F42,'17_코드북'!$A$6:$A$14,0)-1,9))</x:f>
        <x:v>0</x:v>
      </x:c>
      <x:c r="O42" s="12" t="n">
        <x:f>IF(A42="",0,IF(AND(D42&lt;='01_설정'!$B$6,E42&lt;='01_설정'!$B$7),1,0))</x:f>
        <x:v>0</x:v>
      </x:c>
      <x:c r="P42" s="12" t="n">
        <x:f>IF(A42="",0,D42*100000+C42)</x:f>
        <x:v>0</x:v>
      </x:c>
      <x:c r="Q42" s="12" t="n">
        <x:f>IF(O42=0,0,IF(OR(R42=0,N42&lt;&gt;SUMIFS('13_검토이력'!$N$6:$N$305,'13_검토이력'!$P$6:$P$305,R42)),1,0))</x:f>
        <x:v>0</x:v>
      </x:c>
      <x:c r="R42" s="12" t="n">
        <x:f>IF(O42=0,0,_xlfn.MAXIFS('13_검토이력'!$P$6:$P$305,'13_검토이력'!$B$6:$B$305,B42,'13_검토이력'!$P$6:$P$305,"&lt;"&amp;P42,'13_검토이력'!$O$6:$O$305,1))</x:f>
        <x:v>0</x:v>
      </x:c>
      <x:c r="S42" s="12" t="n">
        <x:f>IF(A42="",0,IF(OR(H42=TRUE,H42="TRUE",H42="true"),1,0))</x:f>
        <x:v>0</x:v>
      </x:c>
    </x:row>
    <x:row r="43" ht="20" customHeight="1">
      <x:c r="A43" s="22"/>
      <x:c r="B43" s="22"/>
      <x:c r="C43" s="22"/>
      <x:c r="D43" s="28"/>
      <x:c r="E43" s="28"/>
      <x:c r="F43" s="22"/>
      <x:c r="G43" s="22"/>
      <x:c r="H43" s="22"/>
      <x:c r="I43" s="26"/>
      <x:c r="J43" s="22"/>
      <x:c r="K43" s="26"/>
      <x:c r="L43" s="26"/>
      <x:c r="M43" s="28"/>
      <x:c r="N43" s="12" t="n">
        <x:f>IF(A43="",0,IFERROR(MATCH(F43,'17_코드북'!$A$6:$A$14,0)-1,9))</x:f>
        <x:v>0</x:v>
      </x:c>
      <x:c r="O43" s="12" t="n">
        <x:f>IF(A43="",0,IF(AND(D43&lt;='01_설정'!$B$6,E43&lt;='01_설정'!$B$7),1,0))</x:f>
        <x:v>0</x:v>
      </x:c>
      <x:c r="P43" s="12" t="n">
        <x:f>IF(A43="",0,D43*100000+C43)</x:f>
        <x:v>0</x:v>
      </x:c>
      <x:c r="Q43" s="12" t="n">
        <x:f>IF(O43=0,0,IF(OR(R43=0,N43&lt;&gt;SUMIFS('13_검토이력'!$N$6:$N$305,'13_검토이력'!$P$6:$P$305,R43)),1,0))</x:f>
        <x:v>0</x:v>
      </x:c>
      <x:c r="R43" s="12" t="n">
        <x:f>IF(O43=0,0,_xlfn.MAXIFS('13_검토이력'!$P$6:$P$305,'13_검토이력'!$B$6:$B$305,B43,'13_검토이력'!$P$6:$P$305,"&lt;"&amp;P43,'13_검토이력'!$O$6:$O$305,1))</x:f>
        <x:v>0</x:v>
      </x:c>
      <x:c r="S43" s="12" t="n">
        <x:f>IF(A43="",0,IF(OR(H43=TRUE,H43="TRUE",H43="true"),1,0))</x:f>
        <x:v>0</x:v>
      </x:c>
    </x:row>
    <x:row r="44" ht="20" customHeight="1">
      <x:c r="A44" s="22"/>
      <x:c r="B44" s="22"/>
      <x:c r="C44" s="22"/>
      <x:c r="D44" s="28"/>
      <x:c r="E44" s="28"/>
      <x:c r="F44" s="22"/>
      <x:c r="G44" s="22"/>
      <x:c r="H44" s="22"/>
      <x:c r="I44" s="26"/>
      <x:c r="J44" s="22"/>
      <x:c r="K44" s="26"/>
      <x:c r="L44" s="26"/>
      <x:c r="M44" s="28"/>
      <x:c r="N44" s="12" t="n">
        <x:f>IF(A44="",0,IFERROR(MATCH(F44,'17_코드북'!$A$6:$A$14,0)-1,9))</x:f>
        <x:v>0</x:v>
      </x:c>
      <x:c r="O44" s="12" t="n">
        <x:f>IF(A44="",0,IF(AND(D44&lt;='01_설정'!$B$6,E44&lt;='01_설정'!$B$7),1,0))</x:f>
        <x:v>0</x:v>
      </x:c>
      <x:c r="P44" s="12" t="n">
        <x:f>IF(A44="",0,D44*100000+C44)</x:f>
        <x:v>0</x:v>
      </x:c>
      <x:c r="Q44" s="12" t="n">
        <x:f>IF(O44=0,0,IF(OR(R44=0,N44&lt;&gt;SUMIFS('13_검토이력'!$N$6:$N$305,'13_검토이력'!$P$6:$P$305,R44)),1,0))</x:f>
        <x:v>0</x:v>
      </x:c>
      <x:c r="R44" s="12" t="n">
        <x:f>IF(O44=0,0,_xlfn.MAXIFS('13_검토이력'!$P$6:$P$305,'13_검토이력'!$B$6:$B$305,B44,'13_검토이력'!$P$6:$P$305,"&lt;"&amp;P44,'13_검토이력'!$O$6:$O$305,1))</x:f>
        <x:v>0</x:v>
      </x:c>
      <x:c r="S44" s="12" t="n">
        <x:f>IF(A44="",0,IF(OR(H44=TRUE,H44="TRUE",H44="true"),1,0))</x:f>
        <x:v>0</x:v>
      </x:c>
    </x:row>
    <x:row r="45" ht="20" customHeight="1">
      <x:c r="A45" s="22"/>
      <x:c r="B45" s="22"/>
      <x:c r="C45" s="22"/>
      <x:c r="D45" s="28"/>
      <x:c r="E45" s="28"/>
      <x:c r="F45" s="22"/>
      <x:c r="G45" s="22"/>
      <x:c r="H45" s="22"/>
      <x:c r="I45" s="26"/>
      <x:c r="J45" s="22"/>
      <x:c r="K45" s="26"/>
      <x:c r="L45" s="26"/>
      <x:c r="M45" s="28"/>
      <x:c r="N45" s="12" t="n">
        <x:f>IF(A45="",0,IFERROR(MATCH(F45,'17_코드북'!$A$6:$A$14,0)-1,9))</x:f>
        <x:v>0</x:v>
      </x:c>
      <x:c r="O45" s="12" t="n">
        <x:f>IF(A45="",0,IF(AND(D45&lt;='01_설정'!$B$6,E45&lt;='01_설정'!$B$7),1,0))</x:f>
        <x:v>0</x:v>
      </x:c>
      <x:c r="P45" s="12" t="n">
        <x:f>IF(A45="",0,D45*100000+C45)</x:f>
        <x:v>0</x:v>
      </x:c>
      <x:c r="Q45" s="12" t="n">
        <x:f>IF(O45=0,0,IF(OR(R45=0,N45&lt;&gt;SUMIFS('13_검토이력'!$N$6:$N$305,'13_검토이력'!$P$6:$P$305,R45)),1,0))</x:f>
        <x:v>0</x:v>
      </x:c>
      <x:c r="R45" s="12" t="n">
        <x:f>IF(O45=0,0,_xlfn.MAXIFS('13_검토이력'!$P$6:$P$305,'13_검토이력'!$B$6:$B$305,B45,'13_검토이력'!$P$6:$P$305,"&lt;"&amp;P45,'13_검토이력'!$O$6:$O$305,1))</x:f>
        <x:v>0</x:v>
      </x:c>
      <x:c r="S45" s="12" t="n">
        <x:f>IF(A45="",0,IF(OR(H45=TRUE,H45="TRUE",H45="true"),1,0))</x:f>
        <x:v>0</x:v>
      </x:c>
    </x:row>
    <x:row r="46" ht="20" customHeight="1">
      <x:c r="A46" s="22"/>
      <x:c r="B46" s="22"/>
      <x:c r="C46" s="22"/>
      <x:c r="D46" s="28"/>
      <x:c r="E46" s="28"/>
      <x:c r="F46" s="22"/>
      <x:c r="G46" s="22"/>
      <x:c r="H46" s="22"/>
      <x:c r="I46" s="26"/>
      <x:c r="J46" s="22"/>
      <x:c r="K46" s="26"/>
      <x:c r="L46" s="26"/>
      <x:c r="M46" s="28"/>
      <x:c r="N46" s="12" t="n">
        <x:f>IF(A46="",0,IFERROR(MATCH(F46,'17_코드북'!$A$6:$A$14,0)-1,9))</x:f>
        <x:v>0</x:v>
      </x:c>
      <x:c r="O46" s="12" t="n">
        <x:f>IF(A46="",0,IF(AND(D46&lt;='01_설정'!$B$6,E46&lt;='01_설정'!$B$7),1,0))</x:f>
        <x:v>0</x:v>
      </x:c>
      <x:c r="P46" s="12" t="n">
        <x:f>IF(A46="",0,D46*100000+C46)</x:f>
        <x:v>0</x:v>
      </x:c>
      <x:c r="Q46" s="12" t="n">
        <x:f>IF(O46=0,0,IF(OR(R46=0,N46&lt;&gt;SUMIFS('13_검토이력'!$N$6:$N$305,'13_검토이력'!$P$6:$P$305,R46)),1,0))</x:f>
        <x:v>0</x:v>
      </x:c>
      <x:c r="R46" s="12" t="n">
        <x:f>IF(O46=0,0,_xlfn.MAXIFS('13_검토이력'!$P$6:$P$305,'13_검토이력'!$B$6:$B$305,B46,'13_검토이력'!$P$6:$P$305,"&lt;"&amp;P46,'13_검토이력'!$O$6:$O$305,1))</x:f>
        <x:v>0</x:v>
      </x:c>
      <x:c r="S46" s="12" t="n">
        <x:f>IF(A46="",0,IF(OR(H46=TRUE,H46="TRUE",H46="true"),1,0))</x:f>
        <x:v>0</x:v>
      </x:c>
    </x:row>
    <x:row r="47" ht="20" customHeight="1">
      <x:c r="A47" s="22"/>
      <x:c r="B47" s="22"/>
      <x:c r="C47" s="22"/>
      <x:c r="D47" s="28"/>
      <x:c r="E47" s="28"/>
      <x:c r="F47" s="22"/>
      <x:c r="G47" s="22"/>
      <x:c r="H47" s="22"/>
      <x:c r="I47" s="26"/>
      <x:c r="J47" s="22"/>
      <x:c r="K47" s="26"/>
      <x:c r="L47" s="26"/>
      <x:c r="M47" s="28"/>
      <x:c r="N47" s="12" t="n">
        <x:f>IF(A47="",0,IFERROR(MATCH(F47,'17_코드북'!$A$6:$A$14,0)-1,9))</x:f>
        <x:v>0</x:v>
      </x:c>
      <x:c r="O47" s="12" t="n">
        <x:f>IF(A47="",0,IF(AND(D47&lt;='01_설정'!$B$6,E47&lt;='01_설정'!$B$7),1,0))</x:f>
        <x:v>0</x:v>
      </x:c>
      <x:c r="P47" s="12" t="n">
        <x:f>IF(A47="",0,D47*100000+C47)</x:f>
        <x:v>0</x:v>
      </x:c>
      <x:c r="Q47" s="12" t="n">
        <x:f>IF(O47=0,0,IF(OR(R47=0,N47&lt;&gt;SUMIFS('13_검토이력'!$N$6:$N$305,'13_검토이력'!$P$6:$P$305,R47)),1,0))</x:f>
        <x:v>0</x:v>
      </x:c>
      <x:c r="R47" s="12" t="n">
        <x:f>IF(O47=0,0,_xlfn.MAXIFS('13_검토이력'!$P$6:$P$305,'13_검토이력'!$B$6:$B$305,B47,'13_검토이력'!$P$6:$P$305,"&lt;"&amp;P47,'13_검토이력'!$O$6:$O$305,1))</x:f>
        <x:v>0</x:v>
      </x:c>
      <x:c r="S47" s="12" t="n">
        <x:f>IF(A47="",0,IF(OR(H47=TRUE,H47="TRUE",H47="true"),1,0))</x:f>
        <x:v>0</x:v>
      </x:c>
    </x:row>
    <x:row r="48" ht="20" customHeight="1">
      <x:c r="A48" s="22"/>
      <x:c r="B48" s="22"/>
      <x:c r="C48" s="22"/>
      <x:c r="D48" s="28"/>
      <x:c r="E48" s="28"/>
      <x:c r="F48" s="22"/>
      <x:c r="G48" s="22"/>
      <x:c r="H48" s="22"/>
      <x:c r="I48" s="26"/>
      <x:c r="J48" s="22"/>
      <x:c r="K48" s="26"/>
      <x:c r="L48" s="26"/>
      <x:c r="M48" s="28"/>
      <x:c r="N48" s="12" t="n">
        <x:f>IF(A48="",0,IFERROR(MATCH(F48,'17_코드북'!$A$6:$A$14,0)-1,9))</x:f>
        <x:v>0</x:v>
      </x:c>
      <x:c r="O48" s="12" t="n">
        <x:f>IF(A48="",0,IF(AND(D48&lt;='01_설정'!$B$6,E48&lt;='01_설정'!$B$7),1,0))</x:f>
        <x:v>0</x:v>
      </x:c>
      <x:c r="P48" s="12" t="n">
        <x:f>IF(A48="",0,D48*100000+C48)</x:f>
        <x:v>0</x:v>
      </x:c>
      <x:c r="Q48" s="12" t="n">
        <x:f>IF(O48=0,0,IF(OR(R48=0,N48&lt;&gt;SUMIFS('13_검토이력'!$N$6:$N$305,'13_검토이력'!$P$6:$P$305,R48)),1,0))</x:f>
        <x:v>0</x:v>
      </x:c>
      <x:c r="R48" s="12" t="n">
        <x:f>IF(O48=0,0,_xlfn.MAXIFS('13_검토이력'!$P$6:$P$305,'13_검토이력'!$B$6:$B$305,B48,'13_검토이력'!$P$6:$P$305,"&lt;"&amp;P48,'13_검토이력'!$O$6:$O$305,1))</x:f>
        <x:v>0</x:v>
      </x:c>
      <x:c r="S48" s="12" t="n">
        <x:f>IF(A48="",0,IF(OR(H48=TRUE,H48="TRUE",H48="true"),1,0))</x:f>
        <x:v>0</x:v>
      </x:c>
    </x:row>
    <x:row r="49" ht="20" customHeight="1">
      <x:c r="A49" s="22"/>
      <x:c r="B49" s="22"/>
      <x:c r="C49" s="22"/>
      <x:c r="D49" s="28"/>
      <x:c r="E49" s="28"/>
      <x:c r="F49" s="22"/>
      <x:c r="G49" s="22"/>
      <x:c r="H49" s="22"/>
      <x:c r="I49" s="26"/>
      <x:c r="J49" s="22"/>
      <x:c r="K49" s="26"/>
      <x:c r="L49" s="26"/>
      <x:c r="M49" s="28"/>
      <x:c r="N49" s="12" t="n">
        <x:f>IF(A49="",0,IFERROR(MATCH(F49,'17_코드북'!$A$6:$A$14,0)-1,9))</x:f>
        <x:v>0</x:v>
      </x:c>
      <x:c r="O49" s="12" t="n">
        <x:f>IF(A49="",0,IF(AND(D49&lt;='01_설정'!$B$6,E49&lt;='01_설정'!$B$7),1,0))</x:f>
        <x:v>0</x:v>
      </x:c>
      <x:c r="P49" s="12" t="n">
        <x:f>IF(A49="",0,D49*100000+C49)</x:f>
        <x:v>0</x:v>
      </x:c>
      <x:c r="Q49" s="12" t="n">
        <x:f>IF(O49=0,0,IF(OR(R49=0,N49&lt;&gt;SUMIFS('13_검토이력'!$N$6:$N$305,'13_검토이력'!$P$6:$P$305,R49)),1,0))</x:f>
        <x:v>0</x:v>
      </x:c>
      <x:c r="R49" s="12" t="n">
        <x:f>IF(O49=0,0,_xlfn.MAXIFS('13_검토이력'!$P$6:$P$305,'13_검토이력'!$B$6:$B$305,B49,'13_검토이력'!$P$6:$P$305,"&lt;"&amp;P49,'13_검토이력'!$O$6:$O$305,1))</x:f>
        <x:v>0</x:v>
      </x:c>
      <x:c r="S49" s="12" t="n">
        <x:f>IF(A49="",0,IF(OR(H49=TRUE,H49="TRUE",H49="true"),1,0))</x:f>
        <x:v>0</x:v>
      </x:c>
    </x:row>
    <x:row r="50" ht="20" customHeight="1">
      <x:c r="A50" s="22"/>
      <x:c r="B50" s="22"/>
      <x:c r="C50" s="22"/>
      <x:c r="D50" s="28"/>
      <x:c r="E50" s="28"/>
      <x:c r="F50" s="22"/>
      <x:c r="G50" s="22"/>
      <x:c r="H50" s="22"/>
      <x:c r="I50" s="26"/>
      <x:c r="J50" s="22"/>
      <x:c r="K50" s="26"/>
      <x:c r="L50" s="26"/>
      <x:c r="M50" s="28"/>
      <x:c r="N50" s="12" t="n">
        <x:f>IF(A50="",0,IFERROR(MATCH(F50,'17_코드북'!$A$6:$A$14,0)-1,9))</x:f>
        <x:v>0</x:v>
      </x:c>
      <x:c r="O50" s="12" t="n">
        <x:f>IF(A50="",0,IF(AND(D50&lt;='01_설정'!$B$6,E50&lt;='01_설정'!$B$7),1,0))</x:f>
        <x:v>0</x:v>
      </x:c>
      <x:c r="P50" s="12" t="n">
        <x:f>IF(A50="",0,D50*100000+C50)</x:f>
        <x:v>0</x:v>
      </x:c>
      <x:c r="Q50" s="12" t="n">
        <x:f>IF(O50=0,0,IF(OR(R50=0,N50&lt;&gt;SUMIFS('13_검토이력'!$N$6:$N$305,'13_검토이력'!$P$6:$P$305,R50)),1,0))</x:f>
        <x:v>0</x:v>
      </x:c>
      <x:c r="R50" s="12" t="n">
        <x:f>IF(O50=0,0,_xlfn.MAXIFS('13_검토이력'!$P$6:$P$305,'13_검토이력'!$B$6:$B$305,B50,'13_검토이력'!$P$6:$P$305,"&lt;"&amp;P50,'13_검토이력'!$O$6:$O$305,1))</x:f>
        <x:v>0</x:v>
      </x:c>
      <x:c r="S50" s="12" t="n">
        <x:f>IF(A50="",0,IF(OR(H50=TRUE,H50="TRUE",H50="true"),1,0))</x:f>
        <x:v>0</x:v>
      </x:c>
    </x:row>
    <x:row r="51" ht="20" customHeight="1">
      <x:c r="A51" s="22"/>
      <x:c r="B51" s="22"/>
      <x:c r="C51" s="22"/>
      <x:c r="D51" s="28"/>
      <x:c r="E51" s="28"/>
      <x:c r="F51" s="22"/>
      <x:c r="G51" s="22"/>
      <x:c r="H51" s="22"/>
      <x:c r="I51" s="26"/>
      <x:c r="J51" s="22"/>
      <x:c r="K51" s="26"/>
      <x:c r="L51" s="26"/>
      <x:c r="M51" s="28"/>
      <x:c r="N51" s="36" t="n">
        <x:f>IF(A51="",0,IFERROR(MATCH(F51,'17_코드북'!$A$6:$A$14,0)-1,9))</x:f>
        <x:v>0</x:v>
      </x:c>
      <x:c r="O51" s="36" t="n">
        <x:f>IF(A51="",0,IF(AND(D51&lt;='01_설정'!$B$6,E51&lt;='01_설정'!$B$7),1,0))</x:f>
        <x:v>0</x:v>
      </x:c>
      <x:c r="P51" s="36" t="n">
        <x:f>IF(A51="",0,D51*100000+C51)</x:f>
        <x:v>0</x:v>
      </x:c>
      <x:c r="Q51" s="36" t="n">
        <x:f>IF(O51=0,0,IF(OR(R51=0,N51&lt;&gt;SUMIFS('13_검토이력'!$N$6:$N$305,'13_검토이력'!$P$6:$P$305,R51)),1,0))</x:f>
        <x:v>0</x:v>
      </x:c>
      <x:c r="R51" s="36" t="n">
        <x:f>IF(O51=0,0,_xlfn.MAXIFS('13_검토이력'!$P$6:$P$305,'13_검토이력'!$B$6:$B$305,B51,'13_검토이력'!$P$6:$P$305,"&lt;"&amp;P51,'13_검토이력'!$O$6:$O$305,1))</x:f>
        <x:v>0</x:v>
      </x:c>
      <x:c r="S51" s="36" t="n">
        <x:f>IF(A51="",0,IF(OR(H51=TRUE,H51="TRUE",H51="true"),1,0))</x:f>
        <x:v>0</x:v>
      </x:c>
    </x:row>
    <x:row r="52" ht="20" customHeight="1">
      <x:c r="A52" s="22"/>
      <x:c r="B52" s="22"/>
      <x:c r="C52" s="22"/>
      <x:c r="D52" s="28"/>
      <x:c r="E52" s="28"/>
      <x:c r="F52" s="22"/>
      <x:c r="G52" s="22"/>
      <x:c r="H52" s="22"/>
      <x:c r="I52" s="26"/>
      <x:c r="J52" s="22"/>
      <x:c r="K52" s="26"/>
      <x:c r="L52" s="26"/>
      <x:c r="M52" s="28"/>
      <x:c r="N52" s="36" t="n">
        <x:f>IF(A52="",0,IFERROR(MATCH(F52,'17_코드북'!$A$6:$A$14,0)-1,9))</x:f>
        <x:v>0</x:v>
      </x:c>
      <x:c r="O52" s="36" t="n">
        <x:f>IF(A52="",0,IF(AND(D52&lt;='01_설정'!$B$6,E52&lt;='01_설정'!$B$7),1,0))</x:f>
        <x:v>0</x:v>
      </x:c>
      <x:c r="P52" s="36" t="n">
        <x:f>IF(A52="",0,D52*100000+C52)</x:f>
        <x:v>0</x:v>
      </x:c>
      <x:c r="Q52" s="36" t="n">
        <x:f>IF(O52=0,0,IF(OR(R52=0,N52&lt;&gt;SUMIFS('13_검토이력'!$N$6:$N$305,'13_검토이력'!$P$6:$P$305,R52)),1,0))</x:f>
        <x:v>0</x:v>
      </x:c>
      <x:c r="R52" s="36" t="n">
        <x:f>IF(O52=0,0,_xlfn.MAXIFS('13_검토이력'!$P$6:$P$305,'13_검토이력'!$B$6:$B$305,B52,'13_검토이력'!$P$6:$P$305,"&lt;"&amp;P52,'13_검토이력'!$O$6:$O$305,1))</x:f>
        <x:v>0</x:v>
      </x:c>
      <x:c r="S52" s="36" t="n">
        <x:f>IF(A52="",0,IF(OR(H52=TRUE,H52="TRUE",H52="true"),1,0))</x:f>
        <x:v>0</x:v>
      </x:c>
    </x:row>
    <x:row r="53" ht="20" customHeight="1">
      <x:c r="A53" s="22"/>
      <x:c r="B53" s="22"/>
      <x:c r="C53" s="22"/>
      <x:c r="D53" s="28"/>
      <x:c r="E53" s="28"/>
      <x:c r="F53" s="22"/>
      <x:c r="G53" s="22"/>
      <x:c r="H53" s="22"/>
      <x:c r="I53" s="26"/>
      <x:c r="J53" s="22"/>
      <x:c r="K53" s="26"/>
      <x:c r="L53" s="26"/>
      <x:c r="M53" s="28"/>
      <x:c r="N53" s="36" t="n">
        <x:f>IF(A53="",0,IFERROR(MATCH(F53,'17_코드북'!$A$6:$A$14,0)-1,9))</x:f>
        <x:v>0</x:v>
      </x:c>
      <x:c r="O53" s="36" t="n">
        <x:f>IF(A53="",0,IF(AND(D53&lt;='01_설정'!$B$6,E53&lt;='01_설정'!$B$7),1,0))</x:f>
        <x:v>0</x:v>
      </x:c>
      <x:c r="P53" s="36" t="n">
        <x:f>IF(A53="",0,D53*100000+C53)</x:f>
        <x:v>0</x:v>
      </x:c>
      <x:c r="Q53" s="36" t="n">
        <x:f>IF(O53=0,0,IF(OR(R53=0,N53&lt;&gt;SUMIFS('13_검토이력'!$N$6:$N$305,'13_검토이력'!$P$6:$P$305,R53)),1,0))</x:f>
        <x:v>0</x:v>
      </x:c>
      <x:c r="R53" s="36" t="n">
        <x:f>IF(O53=0,0,_xlfn.MAXIFS('13_검토이력'!$P$6:$P$305,'13_검토이력'!$B$6:$B$305,B53,'13_검토이력'!$P$6:$P$305,"&lt;"&amp;P53,'13_검토이력'!$O$6:$O$305,1))</x:f>
        <x:v>0</x:v>
      </x:c>
      <x:c r="S53" s="36" t="n">
        <x:f>IF(A53="",0,IF(OR(H53=TRUE,H53="TRUE",H53="true"),1,0))</x:f>
        <x:v>0</x:v>
      </x:c>
    </x:row>
    <x:row r="54" ht="20" customHeight="1">
      <x:c r="A54" s="22"/>
      <x:c r="B54" s="22"/>
      <x:c r="C54" s="22"/>
      <x:c r="D54" s="28"/>
      <x:c r="E54" s="28"/>
      <x:c r="F54" s="22"/>
      <x:c r="G54" s="22"/>
      <x:c r="H54" s="22"/>
      <x:c r="I54" s="26"/>
      <x:c r="J54" s="22"/>
      <x:c r="K54" s="26"/>
      <x:c r="L54" s="26"/>
      <x:c r="M54" s="28"/>
      <x:c r="N54" s="36" t="n">
        <x:f>IF(A54="",0,IFERROR(MATCH(F54,'17_코드북'!$A$6:$A$14,0)-1,9))</x:f>
        <x:v>0</x:v>
      </x:c>
      <x:c r="O54" s="36" t="n">
        <x:f>IF(A54="",0,IF(AND(D54&lt;='01_설정'!$B$6,E54&lt;='01_설정'!$B$7),1,0))</x:f>
        <x:v>0</x:v>
      </x:c>
      <x:c r="P54" s="36" t="n">
        <x:f>IF(A54="",0,D54*100000+C54)</x:f>
        <x:v>0</x:v>
      </x:c>
      <x:c r="Q54" s="36" t="n">
        <x:f>IF(O54=0,0,IF(OR(R54=0,N54&lt;&gt;SUMIFS('13_검토이력'!$N$6:$N$305,'13_검토이력'!$P$6:$P$305,R54)),1,0))</x:f>
        <x:v>0</x:v>
      </x:c>
      <x:c r="R54" s="36" t="n">
        <x:f>IF(O54=0,0,_xlfn.MAXIFS('13_검토이력'!$P$6:$P$305,'13_검토이력'!$B$6:$B$305,B54,'13_검토이력'!$P$6:$P$305,"&lt;"&amp;P54,'13_검토이력'!$O$6:$O$305,1))</x:f>
        <x:v>0</x:v>
      </x:c>
      <x:c r="S54" s="36" t="n">
        <x:f>IF(A54="",0,IF(OR(H54=TRUE,H54="TRUE",H54="true"),1,0))</x:f>
        <x:v>0</x:v>
      </x:c>
    </x:row>
    <x:row r="55" ht="20" customHeight="1">
      <x:c r="A55" s="22"/>
      <x:c r="B55" s="22"/>
      <x:c r="C55" s="22"/>
      <x:c r="D55" s="28"/>
      <x:c r="E55" s="28"/>
      <x:c r="F55" s="22"/>
      <x:c r="G55" s="22"/>
      <x:c r="H55" s="22"/>
      <x:c r="I55" s="26"/>
      <x:c r="J55" s="22"/>
      <x:c r="K55" s="26"/>
      <x:c r="L55" s="26"/>
      <x:c r="M55" s="28"/>
      <x:c r="N55" s="36" t="n">
        <x:f>IF(A55="",0,IFERROR(MATCH(F55,'17_코드북'!$A$6:$A$14,0)-1,9))</x:f>
        <x:v>0</x:v>
      </x:c>
      <x:c r="O55" s="36" t="n">
        <x:f>IF(A55="",0,IF(AND(D55&lt;='01_설정'!$B$6,E55&lt;='01_설정'!$B$7),1,0))</x:f>
        <x:v>0</x:v>
      </x:c>
      <x:c r="P55" s="36" t="n">
        <x:f>IF(A55="",0,D55*100000+C55)</x:f>
        <x:v>0</x:v>
      </x:c>
      <x:c r="Q55" s="36" t="n">
        <x:f>IF(O55=0,0,IF(OR(R55=0,N55&lt;&gt;SUMIFS('13_검토이력'!$N$6:$N$305,'13_검토이력'!$P$6:$P$305,R55)),1,0))</x:f>
        <x:v>0</x:v>
      </x:c>
      <x:c r="R55" s="36" t="n">
        <x:f>IF(O55=0,0,_xlfn.MAXIFS('13_검토이력'!$P$6:$P$305,'13_검토이력'!$B$6:$B$305,B55,'13_검토이력'!$P$6:$P$305,"&lt;"&amp;P55,'13_검토이력'!$O$6:$O$305,1))</x:f>
        <x:v>0</x:v>
      </x:c>
      <x:c r="S55" s="36" t="n">
        <x:f>IF(A55="",0,IF(OR(H55=TRUE,H55="TRUE",H55="true"),1,0))</x:f>
        <x:v>0</x:v>
      </x:c>
    </x:row>
    <x:row r="56" ht="20" customHeight="1">
      <x:c r="A56" s="22"/>
      <x:c r="B56" s="22"/>
      <x:c r="C56" s="22"/>
      <x:c r="D56" s="28"/>
      <x:c r="E56" s="28"/>
      <x:c r="F56" s="22"/>
      <x:c r="G56" s="22"/>
      <x:c r="H56" s="22"/>
      <x:c r="I56" s="26"/>
      <x:c r="J56" s="22"/>
      <x:c r="K56" s="26"/>
      <x:c r="L56" s="26"/>
      <x:c r="M56" s="28"/>
      <x:c r="N56" s="36" t="n">
        <x:f>IF(A56="",0,IFERROR(MATCH(F56,'17_코드북'!$A$6:$A$14,0)-1,9))</x:f>
        <x:v>0</x:v>
      </x:c>
      <x:c r="O56" s="36" t="n">
        <x:f>IF(A56="",0,IF(AND(D56&lt;='01_설정'!$B$6,E56&lt;='01_설정'!$B$7),1,0))</x:f>
        <x:v>0</x:v>
      </x:c>
      <x:c r="P56" s="36" t="n">
        <x:f>IF(A56="",0,D56*100000+C56)</x:f>
        <x:v>0</x:v>
      </x:c>
      <x:c r="Q56" s="36" t="n">
        <x:f>IF(O56=0,0,IF(OR(R56=0,N56&lt;&gt;SUMIFS('13_검토이력'!$N$6:$N$305,'13_검토이력'!$P$6:$P$305,R56)),1,0))</x:f>
        <x:v>0</x:v>
      </x:c>
      <x:c r="R56" s="36" t="n">
        <x:f>IF(O56=0,0,_xlfn.MAXIFS('13_검토이력'!$P$6:$P$305,'13_검토이력'!$B$6:$B$305,B56,'13_검토이력'!$P$6:$P$305,"&lt;"&amp;P56,'13_검토이력'!$O$6:$O$305,1))</x:f>
        <x:v>0</x:v>
      </x:c>
      <x:c r="S56" s="36" t="n">
        <x:f>IF(A56="",0,IF(OR(H56=TRUE,H56="TRUE",H56="true"),1,0))</x:f>
        <x:v>0</x:v>
      </x:c>
    </x:row>
    <x:row r="57" ht="20" customHeight="1">
      <x:c r="A57" s="22"/>
      <x:c r="B57" s="22"/>
      <x:c r="C57" s="22"/>
      <x:c r="D57" s="28"/>
      <x:c r="E57" s="28"/>
      <x:c r="F57" s="22"/>
      <x:c r="G57" s="22"/>
      <x:c r="H57" s="22"/>
      <x:c r="I57" s="26"/>
      <x:c r="J57" s="22"/>
      <x:c r="K57" s="26"/>
      <x:c r="L57" s="26"/>
      <x:c r="M57" s="28"/>
      <x:c r="N57" s="36" t="n">
        <x:f>IF(A57="",0,IFERROR(MATCH(F57,'17_코드북'!$A$6:$A$14,0)-1,9))</x:f>
        <x:v>0</x:v>
      </x:c>
      <x:c r="O57" s="36" t="n">
        <x:f>IF(A57="",0,IF(AND(D57&lt;='01_설정'!$B$6,E57&lt;='01_설정'!$B$7),1,0))</x:f>
        <x:v>0</x:v>
      </x:c>
      <x:c r="P57" s="36" t="n">
        <x:f>IF(A57="",0,D57*100000+C57)</x:f>
        <x:v>0</x:v>
      </x:c>
      <x:c r="Q57" s="36" t="n">
        <x:f>IF(O57=0,0,IF(OR(R57=0,N57&lt;&gt;SUMIFS('13_검토이력'!$N$6:$N$305,'13_검토이력'!$P$6:$P$305,R57)),1,0))</x:f>
        <x:v>0</x:v>
      </x:c>
      <x:c r="R57" s="36" t="n">
        <x:f>IF(O57=0,0,_xlfn.MAXIFS('13_검토이력'!$P$6:$P$305,'13_검토이력'!$B$6:$B$305,B57,'13_검토이력'!$P$6:$P$305,"&lt;"&amp;P57,'13_검토이력'!$O$6:$O$305,1))</x:f>
        <x:v>0</x:v>
      </x:c>
      <x:c r="S57" s="36" t="n">
        <x:f>IF(A57="",0,IF(OR(H57=TRUE,H57="TRUE",H57="true"),1,0))</x:f>
        <x:v>0</x:v>
      </x:c>
    </x:row>
    <x:row r="58" ht="20" customHeight="1">
      <x:c r="A58" s="22"/>
      <x:c r="B58" s="22"/>
      <x:c r="C58" s="22"/>
      <x:c r="D58" s="28"/>
      <x:c r="E58" s="28"/>
      <x:c r="F58" s="22"/>
      <x:c r="G58" s="22"/>
      <x:c r="H58" s="22"/>
      <x:c r="I58" s="26"/>
      <x:c r="J58" s="22"/>
      <x:c r="K58" s="26"/>
      <x:c r="L58" s="26"/>
      <x:c r="M58" s="28"/>
      <x:c r="N58" s="36" t="n">
        <x:f>IF(A58="",0,IFERROR(MATCH(F58,'17_코드북'!$A$6:$A$14,0)-1,9))</x:f>
        <x:v>0</x:v>
      </x:c>
      <x:c r="O58" s="36" t="n">
        <x:f>IF(A58="",0,IF(AND(D58&lt;='01_설정'!$B$6,E58&lt;='01_설정'!$B$7),1,0))</x:f>
        <x:v>0</x:v>
      </x:c>
      <x:c r="P58" s="36" t="n">
        <x:f>IF(A58="",0,D58*100000+C58)</x:f>
        <x:v>0</x:v>
      </x:c>
      <x:c r="Q58" s="36" t="n">
        <x:f>IF(O58=0,0,IF(OR(R58=0,N58&lt;&gt;SUMIFS('13_검토이력'!$N$6:$N$305,'13_검토이력'!$P$6:$P$305,R58)),1,0))</x:f>
        <x:v>0</x:v>
      </x:c>
      <x:c r="R58" s="36" t="n">
        <x:f>IF(O58=0,0,_xlfn.MAXIFS('13_검토이력'!$P$6:$P$305,'13_검토이력'!$B$6:$B$305,B58,'13_검토이력'!$P$6:$P$305,"&lt;"&amp;P58,'13_검토이력'!$O$6:$O$305,1))</x:f>
        <x:v>0</x:v>
      </x:c>
      <x:c r="S58" s="36" t="n">
        <x:f>IF(A58="",0,IF(OR(H58=TRUE,H58="TRUE",H58="true"),1,0))</x:f>
        <x:v>0</x:v>
      </x:c>
    </x:row>
    <x:row r="59" ht="20" customHeight="1">
      <x:c r="A59" s="22"/>
      <x:c r="B59" s="22"/>
      <x:c r="C59" s="22"/>
      <x:c r="D59" s="28"/>
      <x:c r="E59" s="28"/>
      <x:c r="F59" s="22"/>
      <x:c r="G59" s="22"/>
      <x:c r="H59" s="22"/>
      <x:c r="I59" s="26"/>
      <x:c r="J59" s="22"/>
      <x:c r="K59" s="26"/>
      <x:c r="L59" s="26"/>
      <x:c r="M59" s="28"/>
      <x:c r="N59" s="36" t="n">
        <x:f>IF(A59="",0,IFERROR(MATCH(F59,'17_코드북'!$A$6:$A$14,0)-1,9))</x:f>
        <x:v>0</x:v>
      </x:c>
      <x:c r="O59" s="36" t="n">
        <x:f>IF(A59="",0,IF(AND(D59&lt;='01_설정'!$B$6,E59&lt;='01_설정'!$B$7),1,0))</x:f>
        <x:v>0</x:v>
      </x:c>
      <x:c r="P59" s="36" t="n">
        <x:f>IF(A59="",0,D59*100000+C59)</x:f>
        <x:v>0</x:v>
      </x:c>
      <x:c r="Q59" s="36" t="n">
        <x:f>IF(O59=0,0,IF(OR(R59=0,N59&lt;&gt;SUMIFS('13_검토이력'!$N$6:$N$305,'13_검토이력'!$P$6:$P$305,R59)),1,0))</x:f>
        <x:v>0</x:v>
      </x:c>
      <x:c r="R59" s="36" t="n">
        <x:f>IF(O59=0,0,_xlfn.MAXIFS('13_검토이력'!$P$6:$P$305,'13_검토이력'!$B$6:$B$305,B59,'13_검토이력'!$P$6:$P$305,"&lt;"&amp;P59,'13_검토이력'!$O$6:$O$305,1))</x:f>
        <x:v>0</x:v>
      </x:c>
      <x:c r="S59" s="36" t="n">
        <x:f>IF(A59="",0,IF(OR(H59=TRUE,H59="TRUE",H59="true"),1,0))</x:f>
        <x:v>0</x:v>
      </x:c>
    </x:row>
    <x:row r="60" ht="20" customHeight="1">
      <x:c r="A60" s="22"/>
      <x:c r="B60" s="22"/>
      <x:c r="C60" s="22"/>
      <x:c r="D60" s="28"/>
      <x:c r="E60" s="28"/>
      <x:c r="F60" s="22"/>
      <x:c r="G60" s="22"/>
      <x:c r="H60" s="22"/>
      <x:c r="I60" s="26"/>
      <x:c r="J60" s="22"/>
      <x:c r="K60" s="26"/>
      <x:c r="L60" s="26"/>
      <x:c r="M60" s="28"/>
      <x:c r="N60" s="36" t="n">
        <x:f>IF(A60="",0,IFERROR(MATCH(F60,'17_코드북'!$A$6:$A$14,0)-1,9))</x:f>
        <x:v>0</x:v>
      </x:c>
      <x:c r="O60" s="36" t="n">
        <x:f>IF(A60="",0,IF(AND(D60&lt;='01_설정'!$B$6,E60&lt;='01_설정'!$B$7),1,0))</x:f>
        <x:v>0</x:v>
      </x:c>
      <x:c r="P60" s="36" t="n">
        <x:f>IF(A60="",0,D60*100000+C60)</x:f>
        <x:v>0</x:v>
      </x:c>
      <x:c r="Q60" s="36" t="n">
        <x:f>IF(O60=0,0,IF(OR(R60=0,N60&lt;&gt;SUMIFS('13_검토이력'!$N$6:$N$305,'13_검토이력'!$P$6:$P$305,R60)),1,0))</x:f>
        <x:v>0</x:v>
      </x:c>
      <x:c r="R60" s="36" t="n">
        <x:f>IF(O60=0,0,_xlfn.MAXIFS('13_검토이력'!$P$6:$P$305,'13_검토이력'!$B$6:$B$305,B60,'13_검토이력'!$P$6:$P$305,"&lt;"&amp;P60,'13_검토이력'!$O$6:$O$305,1))</x:f>
        <x:v>0</x:v>
      </x:c>
      <x:c r="S60" s="36" t="n">
        <x:f>IF(A60="",0,IF(OR(H60=TRUE,H60="TRUE",H60="true"),1,0))</x:f>
        <x:v>0</x:v>
      </x:c>
    </x:row>
    <x:row r="61" ht="20" customHeight="1">
      <x:c r="A61" s="22"/>
      <x:c r="B61" s="22"/>
      <x:c r="C61" s="22"/>
      <x:c r="D61" s="28"/>
      <x:c r="E61" s="28"/>
      <x:c r="F61" s="22"/>
      <x:c r="G61" s="22"/>
      <x:c r="H61" s="22"/>
      <x:c r="I61" s="26"/>
      <x:c r="J61" s="22"/>
      <x:c r="K61" s="26"/>
      <x:c r="L61" s="26"/>
      <x:c r="M61" s="28"/>
      <x:c r="N61" s="36" t="n">
        <x:f>IF(A61="",0,IFERROR(MATCH(F61,'17_코드북'!$A$6:$A$14,0)-1,9))</x:f>
        <x:v>0</x:v>
      </x:c>
      <x:c r="O61" s="36" t="n">
        <x:f>IF(A61="",0,IF(AND(D61&lt;='01_설정'!$B$6,E61&lt;='01_설정'!$B$7),1,0))</x:f>
        <x:v>0</x:v>
      </x:c>
      <x:c r="P61" s="36" t="n">
        <x:f>IF(A61="",0,D61*100000+C61)</x:f>
        <x:v>0</x:v>
      </x:c>
      <x:c r="Q61" s="36" t="n">
        <x:f>IF(O61=0,0,IF(OR(R61=0,N61&lt;&gt;SUMIFS('13_검토이력'!$N$6:$N$305,'13_검토이력'!$P$6:$P$305,R61)),1,0))</x:f>
        <x:v>0</x:v>
      </x:c>
      <x:c r="R61" s="36" t="n">
        <x:f>IF(O61=0,0,_xlfn.MAXIFS('13_검토이력'!$P$6:$P$305,'13_검토이력'!$B$6:$B$305,B61,'13_검토이력'!$P$6:$P$305,"&lt;"&amp;P61,'13_검토이력'!$O$6:$O$305,1))</x:f>
        <x:v>0</x:v>
      </x:c>
      <x:c r="S61" s="36" t="n">
        <x:f>IF(A61="",0,IF(OR(H61=TRUE,H61="TRUE",H61="true"),1,0))</x:f>
        <x:v>0</x:v>
      </x:c>
    </x:row>
    <x:row r="62" ht="20" customHeight="1">
      <x:c r="A62" s="22"/>
      <x:c r="B62" s="22"/>
      <x:c r="C62" s="22"/>
      <x:c r="D62" s="28"/>
      <x:c r="E62" s="28"/>
      <x:c r="F62" s="22"/>
      <x:c r="G62" s="22"/>
      <x:c r="H62" s="22"/>
      <x:c r="I62" s="26"/>
      <x:c r="J62" s="22"/>
      <x:c r="K62" s="26"/>
      <x:c r="L62" s="26"/>
      <x:c r="M62" s="28"/>
      <x:c r="N62" s="36" t="n">
        <x:f>IF(A62="",0,IFERROR(MATCH(F62,'17_코드북'!$A$6:$A$14,0)-1,9))</x:f>
        <x:v>0</x:v>
      </x:c>
      <x:c r="O62" s="36" t="n">
        <x:f>IF(A62="",0,IF(AND(D62&lt;='01_설정'!$B$6,E62&lt;='01_설정'!$B$7),1,0))</x:f>
        <x:v>0</x:v>
      </x:c>
      <x:c r="P62" s="36" t="n">
        <x:f>IF(A62="",0,D62*100000+C62)</x:f>
        <x:v>0</x:v>
      </x:c>
      <x:c r="Q62" s="36" t="n">
        <x:f>IF(O62=0,0,IF(OR(R62=0,N62&lt;&gt;SUMIFS('13_검토이력'!$N$6:$N$305,'13_검토이력'!$P$6:$P$305,R62)),1,0))</x:f>
        <x:v>0</x:v>
      </x:c>
      <x:c r="R62" s="36" t="n">
        <x:f>IF(O62=0,0,_xlfn.MAXIFS('13_검토이력'!$P$6:$P$305,'13_검토이력'!$B$6:$B$305,B62,'13_검토이력'!$P$6:$P$305,"&lt;"&amp;P62,'13_검토이력'!$O$6:$O$305,1))</x:f>
        <x:v>0</x:v>
      </x:c>
      <x:c r="S62" s="36" t="n">
        <x:f>IF(A62="",0,IF(OR(H62=TRUE,H62="TRUE",H62="true"),1,0))</x:f>
        <x:v>0</x:v>
      </x:c>
    </x:row>
    <x:row r="63" ht="20" customHeight="1">
      <x:c r="A63" s="22"/>
      <x:c r="B63" s="22"/>
      <x:c r="C63" s="22"/>
      <x:c r="D63" s="28"/>
      <x:c r="E63" s="28"/>
      <x:c r="F63" s="22"/>
      <x:c r="G63" s="22"/>
      <x:c r="H63" s="22"/>
      <x:c r="I63" s="26"/>
      <x:c r="J63" s="22"/>
      <x:c r="K63" s="26"/>
      <x:c r="L63" s="26"/>
      <x:c r="M63" s="28"/>
      <x:c r="N63" s="36" t="n">
        <x:f>IF(A63="",0,IFERROR(MATCH(F63,'17_코드북'!$A$6:$A$14,0)-1,9))</x:f>
        <x:v>0</x:v>
      </x:c>
      <x:c r="O63" s="36" t="n">
        <x:f>IF(A63="",0,IF(AND(D63&lt;='01_설정'!$B$6,E63&lt;='01_설정'!$B$7),1,0))</x:f>
        <x:v>0</x:v>
      </x:c>
      <x:c r="P63" s="36" t="n">
        <x:f>IF(A63="",0,D63*100000+C63)</x:f>
        <x:v>0</x:v>
      </x:c>
      <x:c r="Q63" s="36" t="n">
        <x:f>IF(O63=0,0,IF(OR(R63=0,N63&lt;&gt;SUMIFS('13_검토이력'!$N$6:$N$305,'13_검토이력'!$P$6:$P$305,R63)),1,0))</x:f>
        <x:v>0</x:v>
      </x:c>
      <x:c r="R63" s="36" t="n">
        <x:f>IF(O63=0,0,_xlfn.MAXIFS('13_검토이력'!$P$6:$P$305,'13_검토이력'!$B$6:$B$305,B63,'13_검토이력'!$P$6:$P$305,"&lt;"&amp;P63,'13_검토이력'!$O$6:$O$305,1))</x:f>
        <x:v>0</x:v>
      </x:c>
      <x:c r="S63" s="36" t="n">
        <x:f>IF(A63="",0,IF(OR(H63=TRUE,H63="TRUE",H63="true"),1,0))</x:f>
        <x:v>0</x:v>
      </x:c>
    </x:row>
    <x:row r="64" ht="20" customHeight="1">
      <x:c r="A64" s="22"/>
      <x:c r="B64" s="22"/>
      <x:c r="C64" s="22"/>
      <x:c r="D64" s="28"/>
      <x:c r="E64" s="28"/>
      <x:c r="F64" s="22"/>
      <x:c r="G64" s="22"/>
      <x:c r="H64" s="22"/>
      <x:c r="I64" s="26"/>
      <x:c r="J64" s="22"/>
      <x:c r="K64" s="26"/>
      <x:c r="L64" s="26"/>
      <x:c r="M64" s="28"/>
      <x:c r="N64" s="36" t="n">
        <x:f>IF(A64="",0,IFERROR(MATCH(F64,'17_코드북'!$A$6:$A$14,0)-1,9))</x:f>
        <x:v>0</x:v>
      </x:c>
      <x:c r="O64" s="36" t="n">
        <x:f>IF(A64="",0,IF(AND(D64&lt;='01_설정'!$B$6,E64&lt;='01_설정'!$B$7),1,0))</x:f>
        <x:v>0</x:v>
      </x:c>
      <x:c r="P64" s="36" t="n">
        <x:f>IF(A64="",0,D64*100000+C64)</x:f>
        <x:v>0</x:v>
      </x:c>
      <x:c r="Q64" s="36" t="n">
        <x:f>IF(O64=0,0,IF(OR(R64=0,N64&lt;&gt;SUMIFS('13_검토이력'!$N$6:$N$305,'13_검토이력'!$P$6:$P$305,R64)),1,0))</x:f>
        <x:v>0</x:v>
      </x:c>
      <x:c r="R64" s="36" t="n">
        <x:f>IF(O64=0,0,_xlfn.MAXIFS('13_검토이력'!$P$6:$P$305,'13_검토이력'!$B$6:$B$305,B64,'13_검토이력'!$P$6:$P$305,"&lt;"&amp;P64,'13_검토이력'!$O$6:$O$305,1))</x:f>
        <x:v>0</x:v>
      </x:c>
      <x:c r="S64" s="36" t="n">
        <x:f>IF(A64="",0,IF(OR(H64=TRUE,H64="TRUE",H64="true"),1,0))</x:f>
        <x:v>0</x:v>
      </x:c>
    </x:row>
    <x:row r="65" ht="20" customHeight="1">
      <x:c r="A65" s="22"/>
      <x:c r="B65" s="22"/>
      <x:c r="C65" s="22"/>
      <x:c r="D65" s="28"/>
      <x:c r="E65" s="28"/>
      <x:c r="F65" s="22"/>
      <x:c r="G65" s="22"/>
      <x:c r="H65" s="22"/>
      <x:c r="I65" s="26"/>
      <x:c r="J65" s="22"/>
      <x:c r="K65" s="26"/>
      <x:c r="L65" s="26"/>
      <x:c r="M65" s="28"/>
      <x:c r="N65" s="36" t="n">
        <x:f>IF(A65="",0,IFERROR(MATCH(F65,'17_코드북'!$A$6:$A$14,0)-1,9))</x:f>
        <x:v>0</x:v>
      </x:c>
      <x:c r="O65" s="36" t="n">
        <x:f>IF(A65="",0,IF(AND(D65&lt;='01_설정'!$B$6,E65&lt;='01_설정'!$B$7),1,0))</x:f>
        <x:v>0</x:v>
      </x:c>
      <x:c r="P65" s="36" t="n">
        <x:f>IF(A65="",0,D65*100000+C65)</x:f>
        <x:v>0</x:v>
      </x:c>
      <x:c r="Q65" s="36" t="n">
        <x:f>IF(O65=0,0,IF(OR(R65=0,N65&lt;&gt;SUMIFS('13_검토이력'!$N$6:$N$305,'13_검토이력'!$P$6:$P$305,R65)),1,0))</x:f>
        <x:v>0</x:v>
      </x:c>
      <x:c r="R65" s="36" t="n">
        <x:f>IF(O65=0,0,_xlfn.MAXIFS('13_검토이력'!$P$6:$P$305,'13_검토이력'!$B$6:$B$305,B65,'13_검토이력'!$P$6:$P$305,"&lt;"&amp;P65,'13_검토이력'!$O$6:$O$305,1))</x:f>
        <x:v>0</x:v>
      </x:c>
      <x:c r="S65" s="36" t="n">
        <x:f>IF(A65="",0,IF(OR(H65=TRUE,H65="TRUE",H65="true"),1,0))</x:f>
        <x:v>0</x:v>
      </x:c>
    </x:row>
    <x:row r="66" ht="20" customHeight="1">
      <x:c r="A66" s="22"/>
      <x:c r="B66" s="22"/>
      <x:c r="C66" s="22"/>
      <x:c r="D66" s="28"/>
      <x:c r="E66" s="28"/>
      <x:c r="F66" s="22"/>
      <x:c r="G66" s="22"/>
      <x:c r="H66" s="22"/>
      <x:c r="I66" s="26"/>
      <x:c r="J66" s="22"/>
      <x:c r="K66" s="26"/>
      <x:c r="L66" s="26"/>
      <x:c r="M66" s="28"/>
      <x:c r="N66" s="36" t="n">
        <x:f>IF(A66="",0,IFERROR(MATCH(F66,'17_코드북'!$A$6:$A$14,0)-1,9))</x:f>
        <x:v>0</x:v>
      </x:c>
      <x:c r="O66" s="36" t="n">
        <x:f>IF(A66="",0,IF(AND(D66&lt;='01_설정'!$B$6,E66&lt;='01_설정'!$B$7),1,0))</x:f>
        <x:v>0</x:v>
      </x:c>
      <x:c r="P66" s="36" t="n">
        <x:f>IF(A66="",0,D66*100000+C66)</x:f>
        <x:v>0</x:v>
      </x:c>
      <x:c r="Q66" s="36" t="n">
        <x:f>IF(O66=0,0,IF(OR(R66=0,N66&lt;&gt;SUMIFS('13_검토이력'!$N$6:$N$305,'13_검토이력'!$P$6:$P$305,R66)),1,0))</x:f>
        <x:v>0</x:v>
      </x:c>
      <x:c r="R66" s="36" t="n">
        <x:f>IF(O66=0,0,_xlfn.MAXIFS('13_검토이력'!$P$6:$P$305,'13_검토이력'!$B$6:$B$305,B66,'13_검토이력'!$P$6:$P$305,"&lt;"&amp;P66,'13_검토이력'!$O$6:$O$305,1))</x:f>
        <x:v>0</x:v>
      </x:c>
      <x:c r="S66" s="36" t="n">
        <x:f>IF(A66="",0,IF(OR(H66=TRUE,H66="TRUE",H66="true"),1,0))</x:f>
        <x:v>0</x:v>
      </x:c>
    </x:row>
    <x:row r="67" ht="20" customHeight="1">
      <x:c r="A67" s="22"/>
      <x:c r="B67" s="22"/>
      <x:c r="C67" s="22"/>
      <x:c r="D67" s="28"/>
      <x:c r="E67" s="28"/>
      <x:c r="F67" s="22"/>
      <x:c r="G67" s="22"/>
      <x:c r="H67" s="22"/>
      <x:c r="I67" s="26"/>
      <x:c r="J67" s="22"/>
      <x:c r="K67" s="26"/>
      <x:c r="L67" s="26"/>
      <x:c r="M67" s="28"/>
      <x:c r="N67" s="36" t="n">
        <x:f>IF(A67="",0,IFERROR(MATCH(F67,'17_코드북'!$A$6:$A$14,0)-1,9))</x:f>
        <x:v>0</x:v>
      </x:c>
      <x:c r="O67" s="36" t="n">
        <x:f>IF(A67="",0,IF(AND(D67&lt;='01_설정'!$B$6,E67&lt;='01_설정'!$B$7),1,0))</x:f>
        <x:v>0</x:v>
      </x:c>
      <x:c r="P67" s="36" t="n">
        <x:f>IF(A67="",0,D67*100000+C67)</x:f>
        <x:v>0</x:v>
      </x:c>
      <x:c r="Q67" s="36" t="n">
        <x:f>IF(O67=0,0,IF(OR(R67=0,N67&lt;&gt;SUMIFS('13_검토이력'!$N$6:$N$305,'13_검토이력'!$P$6:$P$305,R67)),1,0))</x:f>
        <x:v>0</x:v>
      </x:c>
      <x:c r="R67" s="36" t="n">
        <x:f>IF(O67=0,0,_xlfn.MAXIFS('13_검토이력'!$P$6:$P$305,'13_검토이력'!$B$6:$B$305,B67,'13_검토이력'!$P$6:$P$305,"&lt;"&amp;P67,'13_검토이력'!$O$6:$O$305,1))</x:f>
        <x:v>0</x:v>
      </x:c>
      <x:c r="S67" s="36" t="n">
        <x:f>IF(A67="",0,IF(OR(H67=TRUE,H67="TRUE",H67="true"),1,0))</x:f>
        <x:v>0</x:v>
      </x:c>
    </x:row>
    <x:row r="68" ht="20" customHeight="1">
      <x:c r="A68" s="22"/>
      <x:c r="B68" s="22"/>
      <x:c r="C68" s="22"/>
      <x:c r="D68" s="28"/>
      <x:c r="E68" s="28"/>
      <x:c r="F68" s="22"/>
      <x:c r="G68" s="22"/>
      <x:c r="H68" s="22"/>
      <x:c r="I68" s="26"/>
      <x:c r="J68" s="22"/>
      <x:c r="K68" s="26"/>
      <x:c r="L68" s="26"/>
      <x:c r="M68" s="28"/>
      <x:c r="N68" s="36" t="n">
        <x:f>IF(A68="",0,IFERROR(MATCH(F68,'17_코드북'!$A$6:$A$14,0)-1,9))</x:f>
        <x:v>0</x:v>
      </x:c>
      <x:c r="O68" s="36" t="n">
        <x:f>IF(A68="",0,IF(AND(D68&lt;='01_설정'!$B$6,E68&lt;='01_설정'!$B$7),1,0))</x:f>
        <x:v>0</x:v>
      </x:c>
      <x:c r="P68" s="36" t="n">
        <x:f>IF(A68="",0,D68*100000+C68)</x:f>
        <x:v>0</x:v>
      </x:c>
      <x:c r="Q68" s="36" t="n">
        <x:f>IF(O68=0,0,IF(OR(R68=0,N68&lt;&gt;SUMIFS('13_검토이력'!$N$6:$N$305,'13_검토이력'!$P$6:$P$305,R68)),1,0))</x:f>
        <x:v>0</x:v>
      </x:c>
      <x:c r="R68" s="36" t="n">
        <x:f>IF(O68=0,0,_xlfn.MAXIFS('13_검토이력'!$P$6:$P$305,'13_검토이력'!$B$6:$B$305,B68,'13_검토이력'!$P$6:$P$305,"&lt;"&amp;P68,'13_검토이력'!$O$6:$O$305,1))</x:f>
        <x:v>0</x:v>
      </x:c>
      <x:c r="S68" s="36" t="n">
        <x:f>IF(A68="",0,IF(OR(H68=TRUE,H68="TRUE",H68="true"),1,0))</x:f>
        <x:v>0</x:v>
      </x:c>
    </x:row>
    <x:row r="69" ht="20" customHeight="1">
      <x:c r="A69" s="22"/>
      <x:c r="B69" s="22"/>
      <x:c r="C69" s="22"/>
      <x:c r="D69" s="28"/>
      <x:c r="E69" s="28"/>
      <x:c r="F69" s="22"/>
      <x:c r="G69" s="22"/>
      <x:c r="H69" s="22"/>
      <x:c r="I69" s="26"/>
      <x:c r="J69" s="22"/>
      <x:c r="K69" s="26"/>
      <x:c r="L69" s="26"/>
      <x:c r="M69" s="28"/>
      <x:c r="N69" s="36" t="n">
        <x:f>IF(A69="",0,IFERROR(MATCH(F69,'17_코드북'!$A$6:$A$14,0)-1,9))</x:f>
        <x:v>0</x:v>
      </x:c>
      <x:c r="O69" s="36" t="n">
        <x:f>IF(A69="",0,IF(AND(D69&lt;='01_설정'!$B$6,E69&lt;='01_설정'!$B$7),1,0))</x:f>
        <x:v>0</x:v>
      </x:c>
      <x:c r="P69" s="36" t="n">
        <x:f>IF(A69="",0,D69*100000+C69)</x:f>
        <x:v>0</x:v>
      </x:c>
      <x:c r="Q69" s="36" t="n">
        <x:f>IF(O69=0,0,IF(OR(R69=0,N69&lt;&gt;SUMIFS('13_검토이력'!$N$6:$N$305,'13_검토이력'!$P$6:$P$305,R69)),1,0))</x:f>
        <x:v>0</x:v>
      </x:c>
      <x:c r="R69" s="36" t="n">
        <x:f>IF(O69=0,0,_xlfn.MAXIFS('13_검토이력'!$P$6:$P$305,'13_검토이력'!$B$6:$B$305,B69,'13_검토이력'!$P$6:$P$305,"&lt;"&amp;P69,'13_검토이력'!$O$6:$O$305,1))</x:f>
        <x:v>0</x:v>
      </x:c>
      <x:c r="S69" s="36" t="n">
        <x:f>IF(A69="",0,IF(OR(H69=TRUE,H69="TRUE",H69="true"),1,0))</x:f>
        <x:v>0</x:v>
      </x:c>
    </x:row>
    <x:row r="70" ht="20" customHeight="1">
      <x:c r="A70" s="22"/>
      <x:c r="B70" s="22"/>
      <x:c r="C70" s="22"/>
      <x:c r="D70" s="28"/>
      <x:c r="E70" s="28"/>
      <x:c r="F70" s="22"/>
      <x:c r="G70" s="22"/>
      <x:c r="H70" s="22"/>
      <x:c r="I70" s="26"/>
      <x:c r="J70" s="22"/>
      <x:c r="K70" s="26"/>
      <x:c r="L70" s="26"/>
      <x:c r="M70" s="28"/>
      <x:c r="N70" s="36" t="n">
        <x:f>IF(A70="",0,IFERROR(MATCH(F70,'17_코드북'!$A$6:$A$14,0)-1,9))</x:f>
        <x:v>0</x:v>
      </x:c>
      <x:c r="O70" s="36" t="n">
        <x:f>IF(A70="",0,IF(AND(D70&lt;='01_설정'!$B$6,E70&lt;='01_설정'!$B$7),1,0))</x:f>
        <x:v>0</x:v>
      </x:c>
      <x:c r="P70" s="36" t="n">
        <x:f>IF(A70="",0,D70*100000+C70)</x:f>
        <x:v>0</x:v>
      </x:c>
      <x:c r="Q70" s="36" t="n">
        <x:f>IF(O70=0,0,IF(OR(R70=0,N70&lt;&gt;SUMIFS('13_검토이력'!$N$6:$N$305,'13_검토이력'!$P$6:$P$305,R70)),1,0))</x:f>
        <x:v>0</x:v>
      </x:c>
      <x:c r="R70" s="36" t="n">
        <x:f>IF(O70=0,0,_xlfn.MAXIFS('13_검토이력'!$P$6:$P$305,'13_검토이력'!$B$6:$B$305,B70,'13_검토이력'!$P$6:$P$305,"&lt;"&amp;P70,'13_검토이력'!$O$6:$O$305,1))</x:f>
        <x:v>0</x:v>
      </x:c>
      <x:c r="S70" s="36" t="n">
        <x:f>IF(A70="",0,IF(OR(H70=TRUE,H70="TRUE",H70="true"),1,0))</x:f>
        <x:v>0</x:v>
      </x:c>
    </x:row>
    <x:row r="71" ht="20" customHeight="1">
      <x:c r="A71" s="22"/>
      <x:c r="B71" s="22"/>
      <x:c r="C71" s="22"/>
      <x:c r="D71" s="28"/>
      <x:c r="E71" s="28"/>
      <x:c r="F71" s="22"/>
      <x:c r="G71" s="22"/>
      <x:c r="H71" s="22"/>
      <x:c r="I71" s="26"/>
      <x:c r="J71" s="22"/>
      <x:c r="K71" s="26"/>
      <x:c r="L71" s="26"/>
      <x:c r="M71" s="28"/>
      <x:c r="N71" s="36" t="n">
        <x:f>IF(A71="",0,IFERROR(MATCH(F71,'17_코드북'!$A$6:$A$14,0)-1,9))</x:f>
        <x:v>0</x:v>
      </x:c>
      <x:c r="O71" s="36" t="n">
        <x:f>IF(A71="",0,IF(AND(D71&lt;='01_설정'!$B$6,E71&lt;='01_설정'!$B$7),1,0))</x:f>
        <x:v>0</x:v>
      </x:c>
      <x:c r="P71" s="36" t="n">
        <x:f>IF(A71="",0,D71*100000+C71)</x:f>
        <x:v>0</x:v>
      </x:c>
      <x:c r="Q71" s="36" t="n">
        <x:f>IF(O71=0,0,IF(OR(R71=0,N71&lt;&gt;SUMIFS('13_검토이력'!$N$6:$N$305,'13_검토이력'!$P$6:$P$305,R71)),1,0))</x:f>
        <x:v>0</x:v>
      </x:c>
      <x:c r="R71" s="36" t="n">
        <x:f>IF(O71=0,0,_xlfn.MAXIFS('13_검토이력'!$P$6:$P$305,'13_검토이력'!$B$6:$B$305,B71,'13_검토이력'!$P$6:$P$305,"&lt;"&amp;P71,'13_검토이력'!$O$6:$O$305,1))</x:f>
        <x:v>0</x:v>
      </x:c>
      <x:c r="S71" s="36" t="n">
        <x:f>IF(A71="",0,IF(OR(H71=TRUE,H71="TRUE",H71="true"),1,0))</x:f>
        <x:v>0</x:v>
      </x:c>
    </x:row>
    <x:row r="72" ht="20" customHeight="1">
      <x:c r="A72" s="22"/>
      <x:c r="B72" s="22"/>
      <x:c r="C72" s="22"/>
      <x:c r="D72" s="28"/>
      <x:c r="E72" s="28"/>
      <x:c r="F72" s="22"/>
      <x:c r="G72" s="22"/>
      <x:c r="H72" s="22"/>
      <x:c r="I72" s="26"/>
      <x:c r="J72" s="22"/>
      <x:c r="K72" s="26"/>
      <x:c r="L72" s="26"/>
      <x:c r="M72" s="28"/>
      <x:c r="N72" s="36" t="n">
        <x:f>IF(A72="",0,IFERROR(MATCH(F72,'17_코드북'!$A$6:$A$14,0)-1,9))</x:f>
        <x:v>0</x:v>
      </x:c>
      <x:c r="O72" s="36" t="n">
        <x:f>IF(A72="",0,IF(AND(D72&lt;='01_설정'!$B$6,E72&lt;='01_설정'!$B$7),1,0))</x:f>
        <x:v>0</x:v>
      </x:c>
      <x:c r="P72" s="36" t="n">
        <x:f>IF(A72="",0,D72*100000+C72)</x:f>
        <x:v>0</x:v>
      </x:c>
      <x:c r="Q72" s="36" t="n">
        <x:f>IF(O72=0,0,IF(OR(R72=0,N72&lt;&gt;SUMIFS('13_검토이력'!$N$6:$N$305,'13_검토이력'!$P$6:$P$305,R72)),1,0))</x:f>
        <x:v>0</x:v>
      </x:c>
      <x:c r="R72" s="36" t="n">
        <x:f>IF(O72=0,0,_xlfn.MAXIFS('13_검토이력'!$P$6:$P$305,'13_검토이력'!$B$6:$B$305,B72,'13_검토이력'!$P$6:$P$305,"&lt;"&amp;P72,'13_검토이력'!$O$6:$O$305,1))</x:f>
        <x:v>0</x:v>
      </x:c>
      <x:c r="S72" s="36" t="n">
        <x:f>IF(A72="",0,IF(OR(H72=TRUE,H72="TRUE",H72="true"),1,0))</x:f>
        <x:v>0</x:v>
      </x:c>
    </x:row>
    <x:row r="73" ht="20" customHeight="1">
      <x:c r="A73" s="22"/>
      <x:c r="B73" s="22"/>
      <x:c r="C73" s="22"/>
      <x:c r="D73" s="28"/>
      <x:c r="E73" s="28"/>
      <x:c r="F73" s="22"/>
      <x:c r="G73" s="22"/>
      <x:c r="H73" s="22"/>
      <x:c r="I73" s="26"/>
      <x:c r="J73" s="22"/>
      <x:c r="K73" s="26"/>
      <x:c r="L73" s="26"/>
      <x:c r="M73" s="28"/>
      <x:c r="N73" s="36" t="n">
        <x:f>IF(A73="",0,IFERROR(MATCH(F73,'17_코드북'!$A$6:$A$14,0)-1,9))</x:f>
        <x:v>0</x:v>
      </x:c>
      <x:c r="O73" s="36" t="n">
        <x:f>IF(A73="",0,IF(AND(D73&lt;='01_설정'!$B$6,E73&lt;='01_설정'!$B$7),1,0))</x:f>
        <x:v>0</x:v>
      </x:c>
      <x:c r="P73" s="36" t="n">
        <x:f>IF(A73="",0,D73*100000+C73)</x:f>
        <x:v>0</x:v>
      </x:c>
      <x:c r="Q73" s="36" t="n">
        <x:f>IF(O73=0,0,IF(OR(R73=0,N73&lt;&gt;SUMIFS('13_검토이력'!$N$6:$N$305,'13_검토이력'!$P$6:$P$305,R73)),1,0))</x:f>
        <x:v>0</x:v>
      </x:c>
      <x:c r="R73" s="36" t="n">
        <x:f>IF(O73=0,0,_xlfn.MAXIFS('13_검토이력'!$P$6:$P$305,'13_검토이력'!$B$6:$B$305,B73,'13_검토이력'!$P$6:$P$305,"&lt;"&amp;P73,'13_검토이력'!$O$6:$O$305,1))</x:f>
        <x:v>0</x:v>
      </x:c>
      <x:c r="S73" s="36" t="n">
        <x:f>IF(A73="",0,IF(OR(H73=TRUE,H73="TRUE",H73="true"),1,0))</x:f>
        <x:v>0</x:v>
      </x:c>
    </x:row>
    <x:row r="74" ht="20" customHeight="1">
      <x:c r="A74" s="22"/>
      <x:c r="B74" s="22"/>
      <x:c r="C74" s="22"/>
      <x:c r="D74" s="28"/>
      <x:c r="E74" s="28"/>
      <x:c r="F74" s="22"/>
      <x:c r="G74" s="22"/>
      <x:c r="H74" s="22"/>
      <x:c r="I74" s="26"/>
      <x:c r="J74" s="22"/>
      <x:c r="K74" s="26"/>
      <x:c r="L74" s="26"/>
      <x:c r="M74" s="28"/>
      <x:c r="N74" s="36" t="n">
        <x:f>IF(A74="",0,IFERROR(MATCH(F74,'17_코드북'!$A$6:$A$14,0)-1,9))</x:f>
        <x:v>0</x:v>
      </x:c>
      <x:c r="O74" s="36" t="n">
        <x:f>IF(A74="",0,IF(AND(D74&lt;='01_설정'!$B$6,E74&lt;='01_설정'!$B$7),1,0))</x:f>
        <x:v>0</x:v>
      </x:c>
      <x:c r="P74" s="36" t="n">
        <x:f>IF(A74="",0,D74*100000+C74)</x:f>
        <x:v>0</x:v>
      </x:c>
      <x:c r="Q74" s="36" t="n">
        <x:f>IF(O74=0,0,IF(OR(R74=0,N74&lt;&gt;SUMIFS('13_검토이력'!$N$6:$N$305,'13_검토이력'!$P$6:$P$305,R74)),1,0))</x:f>
        <x:v>0</x:v>
      </x:c>
      <x:c r="R74" s="36" t="n">
        <x:f>IF(O74=0,0,_xlfn.MAXIFS('13_검토이력'!$P$6:$P$305,'13_검토이력'!$B$6:$B$305,B74,'13_검토이력'!$P$6:$P$305,"&lt;"&amp;P74,'13_검토이력'!$O$6:$O$305,1))</x:f>
        <x:v>0</x:v>
      </x:c>
      <x:c r="S74" s="36" t="n">
        <x:f>IF(A74="",0,IF(OR(H74=TRUE,H74="TRUE",H74="true"),1,0))</x:f>
        <x:v>0</x:v>
      </x:c>
    </x:row>
    <x:row r="75" ht="20" customHeight="1">
      <x:c r="A75" s="22"/>
      <x:c r="B75" s="22"/>
      <x:c r="C75" s="22"/>
      <x:c r="D75" s="28"/>
      <x:c r="E75" s="28"/>
      <x:c r="F75" s="22"/>
      <x:c r="G75" s="22"/>
      <x:c r="H75" s="22"/>
      <x:c r="I75" s="26"/>
      <x:c r="J75" s="22"/>
      <x:c r="K75" s="26"/>
      <x:c r="L75" s="26"/>
      <x:c r="M75" s="28"/>
      <x:c r="N75" s="36" t="n">
        <x:f>IF(A75="",0,IFERROR(MATCH(F75,'17_코드북'!$A$6:$A$14,0)-1,9))</x:f>
        <x:v>0</x:v>
      </x:c>
      <x:c r="O75" s="36" t="n">
        <x:f>IF(A75="",0,IF(AND(D75&lt;='01_설정'!$B$6,E75&lt;='01_설정'!$B$7),1,0))</x:f>
        <x:v>0</x:v>
      </x:c>
      <x:c r="P75" s="36" t="n">
        <x:f>IF(A75="",0,D75*100000+C75)</x:f>
        <x:v>0</x:v>
      </x:c>
      <x:c r="Q75" s="36" t="n">
        <x:f>IF(O75=0,0,IF(OR(R75=0,N75&lt;&gt;SUMIFS('13_검토이력'!$N$6:$N$305,'13_검토이력'!$P$6:$P$305,R75)),1,0))</x:f>
        <x:v>0</x:v>
      </x:c>
      <x:c r="R75" s="36" t="n">
        <x:f>IF(O75=0,0,_xlfn.MAXIFS('13_검토이력'!$P$6:$P$305,'13_검토이력'!$B$6:$B$305,B75,'13_검토이력'!$P$6:$P$305,"&lt;"&amp;P75,'13_검토이력'!$O$6:$O$305,1))</x:f>
        <x:v>0</x:v>
      </x:c>
      <x:c r="S75" s="36" t="n">
        <x:f>IF(A75="",0,IF(OR(H75=TRUE,H75="TRUE",H75="true"),1,0))</x:f>
        <x:v>0</x:v>
      </x:c>
    </x:row>
    <x:row r="76" ht="20" customHeight="1">
      <x:c r="A76" s="22"/>
      <x:c r="B76" s="22"/>
      <x:c r="C76" s="22"/>
      <x:c r="D76" s="28"/>
      <x:c r="E76" s="28"/>
      <x:c r="F76" s="22"/>
      <x:c r="G76" s="22"/>
      <x:c r="H76" s="22"/>
      <x:c r="I76" s="26"/>
      <x:c r="J76" s="22"/>
      <x:c r="K76" s="26"/>
      <x:c r="L76" s="26"/>
      <x:c r="M76" s="28"/>
      <x:c r="N76" s="36" t="n">
        <x:f>IF(A76="",0,IFERROR(MATCH(F76,'17_코드북'!$A$6:$A$14,0)-1,9))</x:f>
        <x:v>0</x:v>
      </x:c>
      <x:c r="O76" s="36" t="n">
        <x:f>IF(A76="",0,IF(AND(D76&lt;='01_설정'!$B$6,E76&lt;='01_설정'!$B$7),1,0))</x:f>
        <x:v>0</x:v>
      </x:c>
      <x:c r="P76" s="36" t="n">
        <x:f>IF(A76="",0,D76*100000+C76)</x:f>
        <x:v>0</x:v>
      </x:c>
      <x:c r="Q76" s="36" t="n">
        <x:f>IF(O76=0,0,IF(OR(R76=0,N76&lt;&gt;SUMIFS('13_검토이력'!$N$6:$N$305,'13_검토이력'!$P$6:$P$305,R76)),1,0))</x:f>
        <x:v>0</x:v>
      </x:c>
      <x:c r="R76" s="36" t="n">
        <x:f>IF(O76=0,0,_xlfn.MAXIFS('13_검토이력'!$P$6:$P$305,'13_검토이력'!$B$6:$B$305,B76,'13_검토이력'!$P$6:$P$305,"&lt;"&amp;P76,'13_검토이력'!$O$6:$O$305,1))</x:f>
        <x:v>0</x:v>
      </x:c>
      <x:c r="S76" s="36" t="n">
        <x:f>IF(A76="",0,IF(OR(H76=TRUE,H76="TRUE",H76="true"),1,0))</x:f>
        <x:v>0</x:v>
      </x:c>
    </x:row>
    <x:row r="77" ht="20" customHeight="1">
      <x:c r="A77" s="22"/>
      <x:c r="B77" s="22"/>
      <x:c r="C77" s="22"/>
      <x:c r="D77" s="28"/>
      <x:c r="E77" s="28"/>
      <x:c r="F77" s="22"/>
      <x:c r="G77" s="22"/>
      <x:c r="H77" s="22"/>
      <x:c r="I77" s="26"/>
      <x:c r="J77" s="22"/>
      <x:c r="K77" s="26"/>
      <x:c r="L77" s="26"/>
      <x:c r="M77" s="28"/>
      <x:c r="N77" s="36" t="n">
        <x:f>IF(A77="",0,IFERROR(MATCH(F77,'17_코드북'!$A$6:$A$14,0)-1,9))</x:f>
        <x:v>0</x:v>
      </x:c>
      <x:c r="O77" s="36" t="n">
        <x:f>IF(A77="",0,IF(AND(D77&lt;='01_설정'!$B$6,E77&lt;='01_설정'!$B$7),1,0))</x:f>
        <x:v>0</x:v>
      </x:c>
      <x:c r="P77" s="36" t="n">
        <x:f>IF(A77="",0,D77*100000+C77)</x:f>
        <x:v>0</x:v>
      </x:c>
      <x:c r="Q77" s="36" t="n">
        <x:f>IF(O77=0,0,IF(OR(R77=0,N77&lt;&gt;SUMIFS('13_검토이력'!$N$6:$N$305,'13_검토이력'!$P$6:$P$305,R77)),1,0))</x:f>
        <x:v>0</x:v>
      </x:c>
      <x:c r="R77" s="36" t="n">
        <x:f>IF(O77=0,0,_xlfn.MAXIFS('13_검토이력'!$P$6:$P$305,'13_검토이력'!$B$6:$B$305,B77,'13_검토이력'!$P$6:$P$305,"&lt;"&amp;P77,'13_검토이력'!$O$6:$O$305,1))</x:f>
        <x:v>0</x:v>
      </x:c>
      <x:c r="S77" s="36" t="n">
        <x:f>IF(A77="",0,IF(OR(H77=TRUE,H77="TRUE",H77="true"),1,0))</x:f>
        <x:v>0</x:v>
      </x:c>
    </x:row>
    <x:row r="78" ht="20" customHeight="1">
      <x:c r="A78" s="22"/>
      <x:c r="B78" s="22"/>
      <x:c r="C78" s="22"/>
      <x:c r="D78" s="28"/>
      <x:c r="E78" s="28"/>
      <x:c r="F78" s="22"/>
      <x:c r="G78" s="22"/>
      <x:c r="H78" s="22"/>
      <x:c r="I78" s="26"/>
      <x:c r="J78" s="22"/>
      <x:c r="K78" s="26"/>
      <x:c r="L78" s="26"/>
      <x:c r="M78" s="28"/>
      <x:c r="N78" s="36" t="n">
        <x:f>IF(A78="",0,IFERROR(MATCH(F78,'17_코드북'!$A$6:$A$14,0)-1,9))</x:f>
        <x:v>0</x:v>
      </x:c>
      <x:c r="O78" s="36" t="n">
        <x:f>IF(A78="",0,IF(AND(D78&lt;='01_설정'!$B$6,E78&lt;='01_설정'!$B$7),1,0))</x:f>
        <x:v>0</x:v>
      </x:c>
      <x:c r="P78" s="36" t="n">
        <x:f>IF(A78="",0,D78*100000+C78)</x:f>
        <x:v>0</x:v>
      </x:c>
      <x:c r="Q78" s="36" t="n">
        <x:f>IF(O78=0,0,IF(OR(R78=0,N78&lt;&gt;SUMIFS('13_검토이력'!$N$6:$N$305,'13_검토이력'!$P$6:$P$305,R78)),1,0))</x:f>
        <x:v>0</x:v>
      </x:c>
      <x:c r="R78" s="36" t="n">
        <x:f>IF(O78=0,0,_xlfn.MAXIFS('13_검토이력'!$P$6:$P$305,'13_검토이력'!$B$6:$B$305,B78,'13_검토이력'!$P$6:$P$305,"&lt;"&amp;P78,'13_검토이력'!$O$6:$O$305,1))</x:f>
        <x:v>0</x:v>
      </x:c>
      <x:c r="S78" s="36" t="n">
        <x:f>IF(A78="",0,IF(OR(H78=TRUE,H78="TRUE",H78="true"),1,0))</x:f>
        <x:v>0</x:v>
      </x:c>
    </x:row>
    <x:row r="79" ht="20" customHeight="1">
      <x:c r="A79" s="22"/>
      <x:c r="B79" s="22"/>
      <x:c r="C79" s="22"/>
      <x:c r="D79" s="28"/>
      <x:c r="E79" s="28"/>
      <x:c r="F79" s="22"/>
      <x:c r="G79" s="22"/>
      <x:c r="H79" s="22"/>
      <x:c r="I79" s="26"/>
      <x:c r="J79" s="22"/>
      <x:c r="K79" s="26"/>
      <x:c r="L79" s="26"/>
      <x:c r="M79" s="28"/>
      <x:c r="N79" s="36" t="n">
        <x:f>IF(A79="",0,IFERROR(MATCH(F79,'17_코드북'!$A$6:$A$14,0)-1,9))</x:f>
        <x:v>0</x:v>
      </x:c>
      <x:c r="O79" s="36" t="n">
        <x:f>IF(A79="",0,IF(AND(D79&lt;='01_설정'!$B$6,E79&lt;='01_설정'!$B$7),1,0))</x:f>
        <x:v>0</x:v>
      </x:c>
      <x:c r="P79" s="36" t="n">
        <x:f>IF(A79="",0,D79*100000+C79)</x:f>
        <x:v>0</x:v>
      </x:c>
      <x:c r="Q79" s="36" t="n">
        <x:f>IF(O79=0,0,IF(OR(R79=0,N79&lt;&gt;SUMIFS('13_검토이력'!$N$6:$N$305,'13_검토이력'!$P$6:$P$305,R79)),1,0))</x:f>
        <x:v>0</x:v>
      </x:c>
      <x:c r="R79" s="36" t="n">
        <x:f>IF(O79=0,0,_xlfn.MAXIFS('13_검토이력'!$P$6:$P$305,'13_검토이력'!$B$6:$B$305,B79,'13_검토이력'!$P$6:$P$305,"&lt;"&amp;P79,'13_검토이력'!$O$6:$O$305,1))</x:f>
        <x:v>0</x:v>
      </x:c>
      <x:c r="S79" s="36" t="n">
        <x:f>IF(A79="",0,IF(OR(H79=TRUE,H79="TRUE",H79="true"),1,0))</x:f>
        <x:v>0</x:v>
      </x:c>
    </x:row>
    <x:row r="80" ht="20" customHeight="1">
      <x:c r="A80" s="22"/>
      <x:c r="B80" s="22"/>
      <x:c r="C80" s="22"/>
      <x:c r="D80" s="28"/>
      <x:c r="E80" s="28"/>
      <x:c r="F80" s="22"/>
      <x:c r="G80" s="22"/>
      <x:c r="H80" s="22"/>
      <x:c r="I80" s="26"/>
      <x:c r="J80" s="22"/>
      <x:c r="K80" s="26"/>
      <x:c r="L80" s="26"/>
      <x:c r="M80" s="28"/>
      <x:c r="N80" s="36" t="n">
        <x:f>IF(A80="",0,IFERROR(MATCH(F80,'17_코드북'!$A$6:$A$14,0)-1,9))</x:f>
        <x:v>0</x:v>
      </x:c>
      <x:c r="O80" s="36" t="n">
        <x:f>IF(A80="",0,IF(AND(D80&lt;='01_설정'!$B$6,E80&lt;='01_설정'!$B$7),1,0))</x:f>
        <x:v>0</x:v>
      </x:c>
      <x:c r="P80" s="36" t="n">
        <x:f>IF(A80="",0,D80*100000+C80)</x:f>
        <x:v>0</x:v>
      </x:c>
      <x:c r="Q80" s="36" t="n">
        <x:f>IF(O80=0,0,IF(OR(R80=0,N80&lt;&gt;SUMIFS('13_검토이력'!$N$6:$N$305,'13_검토이력'!$P$6:$P$305,R80)),1,0))</x:f>
        <x:v>0</x:v>
      </x:c>
      <x:c r="R80" s="36" t="n">
        <x:f>IF(O80=0,0,_xlfn.MAXIFS('13_검토이력'!$P$6:$P$305,'13_검토이력'!$B$6:$B$305,B80,'13_검토이력'!$P$6:$P$305,"&lt;"&amp;P80,'13_검토이력'!$O$6:$O$305,1))</x:f>
        <x:v>0</x:v>
      </x:c>
      <x:c r="S80" s="36" t="n">
        <x:f>IF(A80="",0,IF(OR(H80=TRUE,H80="TRUE",H80="true"),1,0))</x:f>
        <x:v>0</x:v>
      </x:c>
    </x:row>
    <x:row r="81" ht="20" customHeight="1">
      <x:c r="A81" s="22"/>
      <x:c r="B81" s="22"/>
      <x:c r="C81" s="22"/>
      <x:c r="D81" s="28"/>
      <x:c r="E81" s="28"/>
      <x:c r="F81" s="22"/>
      <x:c r="G81" s="22"/>
      <x:c r="H81" s="22"/>
      <x:c r="I81" s="26"/>
      <x:c r="J81" s="22"/>
      <x:c r="K81" s="26"/>
      <x:c r="L81" s="26"/>
      <x:c r="M81" s="28"/>
      <x:c r="N81" s="36" t="n">
        <x:f>IF(A81="",0,IFERROR(MATCH(F81,'17_코드북'!$A$6:$A$14,0)-1,9))</x:f>
        <x:v>0</x:v>
      </x:c>
      <x:c r="O81" s="36" t="n">
        <x:f>IF(A81="",0,IF(AND(D81&lt;='01_설정'!$B$6,E81&lt;='01_설정'!$B$7),1,0))</x:f>
        <x:v>0</x:v>
      </x:c>
      <x:c r="P81" s="36" t="n">
        <x:f>IF(A81="",0,D81*100000+C81)</x:f>
        <x:v>0</x:v>
      </x:c>
      <x:c r="Q81" s="36" t="n">
        <x:f>IF(O81=0,0,IF(OR(R81=0,N81&lt;&gt;SUMIFS('13_검토이력'!$N$6:$N$305,'13_검토이력'!$P$6:$P$305,R81)),1,0))</x:f>
        <x:v>0</x:v>
      </x:c>
      <x:c r="R81" s="36" t="n">
        <x:f>IF(O81=0,0,_xlfn.MAXIFS('13_검토이력'!$P$6:$P$305,'13_검토이력'!$B$6:$B$305,B81,'13_검토이력'!$P$6:$P$305,"&lt;"&amp;P81,'13_검토이력'!$O$6:$O$305,1))</x:f>
        <x:v>0</x:v>
      </x:c>
      <x:c r="S81" s="36" t="n">
        <x:f>IF(A81="",0,IF(OR(H81=TRUE,H81="TRUE",H81="true"),1,0))</x:f>
        <x:v>0</x:v>
      </x:c>
    </x:row>
    <x:row r="82" ht="20" customHeight="1">
      <x:c r="A82" s="22"/>
      <x:c r="B82" s="22"/>
      <x:c r="C82" s="22"/>
      <x:c r="D82" s="28"/>
      <x:c r="E82" s="28"/>
      <x:c r="F82" s="22"/>
      <x:c r="G82" s="22"/>
      <x:c r="H82" s="22"/>
      <x:c r="I82" s="26"/>
      <x:c r="J82" s="22"/>
      <x:c r="K82" s="26"/>
      <x:c r="L82" s="26"/>
      <x:c r="M82" s="28"/>
      <x:c r="N82" s="36" t="n">
        <x:f>IF(A82="",0,IFERROR(MATCH(F82,'17_코드북'!$A$6:$A$14,0)-1,9))</x:f>
        <x:v>0</x:v>
      </x:c>
      <x:c r="O82" s="36" t="n">
        <x:f>IF(A82="",0,IF(AND(D82&lt;='01_설정'!$B$6,E82&lt;='01_설정'!$B$7),1,0))</x:f>
        <x:v>0</x:v>
      </x:c>
      <x:c r="P82" s="36" t="n">
        <x:f>IF(A82="",0,D82*100000+C82)</x:f>
        <x:v>0</x:v>
      </x:c>
      <x:c r="Q82" s="36" t="n">
        <x:f>IF(O82=0,0,IF(OR(R82=0,N82&lt;&gt;SUMIFS('13_검토이력'!$N$6:$N$305,'13_검토이력'!$P$6:$P$305,R82)),1,0))</x:f>
        <x:v>0</x:v>
      </x:c>
      <x:c r="R82" s="36" t="n">
        <x:f>IF(O82=0,0,_xlfn.MAXIFS('13_검토이력'!$P$6:$P$305,'13_검토이력'!$B$6:$B$305,B82,'13_검토이력'!$P$6:$P$305,"&lt;"&amp;P82,'13_검토이력'!$O$6:$O$305,1))</x:f>
        <x:v>0</x:v>
      </x:c>
      <x:c r="S82" s="36" t="n">
        <x:f>IF(A82="",0,IF(OR(H82=TRUE,H82="TRUE",H82="true"),1,0))</x:f>
        <x:v>0</x:v>
      </x:c>
    </x:row>
    <x:row r="83" ht="20" customHeight="1">
      <x:c r="A83" s="22"/>
      <x:c r="B83" s="22"/>
      <x:c r="C83" s="22"/>
      <x:c r="D83" s="28"/>
      <x:c r="E83" s="28"/>
      <x:c r="F83" s="22"/>
      <x:c r="G83" s="22"/>
      <x:c r="H83" s="22"/>
      <x:c r="I83" s="26"/>
      <x:c r="J83" s="22"/>
      <x:c r="K83" s="26"/>
      <x:c r="L83" s="26"/>
      <x:c r="M83" s="28"/>
      <x:c r="N83" s="36" t="n">
        <x:f>IF(A83="",0,IFERROR(MATCH(F83,'17_코드북'!$A$6:$A$14,0)-1,9))</x:f>
        <x:v>0</x:v>
      </x:c>
      <x:c r="O83" s="36" t="n">
        <x:f>IF(A83="",0,IF(AND(D83&lt;='01_설정'!$B$6,E83&lt;='01_설정'!$B$7),1,0))</x:f>
        <x:v>0</x:v>
      </x:c>
      <x:c r="P83" s="36" t="n">
        <x:f>IF(A83="",0,D83*100000+C83)</x:f>
        <x:v>0</x:v>
      </x:c>
      <x:c r="Q83" s="36" t="n">
        <x:f>IF(O83=0,0,IF(OR(R83=0,N83&lt;&gt;SUMIFS('13_검토이력'!$N$6:$N$305,'13_검토이력'!$P$6:$P$305,R83)),1,0))</x:f>
        <x:v>0</x:v>
      </x:c>
      <x:c r="R83" s="36" t="n">
        <x:f>IF(O83=0,0,_xlfn.MAXIFS('13_검토이력'!$P$6:$P$305,'13_검토이력'!$B$6:$B$305,B83,'13_검토이력'!$P$6:$P$305,"&lt;"&amp;P83,'13_검토이력'!$O$6:$O$305,1))</x:f>
        <x:v>0</x:v>
      </x:c>
      <x:c r="S83" s="36" t="n">
        <x:f>IF(A83="",0,IF(OR(H83=TRUE,H83="TRUE",H83="true"),1,0))</x:f>
        <x:v>0</x:v>
      </x:c>
    </x:row>
    <x:row r="84" ht="20" customHeight="1">
      <x:c r="A84" s="22"/>
      <x:c r="B84" s="22"/>
      <x:c r="C84" s="22"/>
      <x:c r="D84" s="28"/>
      <x:c r="E84" s="28"/>
      <x:c r="F84" s="22"/>
      <x:c r="G84" s="22"/>
      <x:c r="H84" s="22"/>
      <x:c r="I84" s="26"/>
      <x:c r="J84" s="22"/>
      <x:c r="K84" s="26"/>
      <x:c r="L84" s="26"/>
      <x:c r="M84" s="28"/>
      <x:c r="N84" s="36" t="n">
        <x:f>IF(A84="",0,IFERROR(MATCH(F84,'17_코드북'!$A$6:$A$14,0)-1,9))</x:f>
        <x:v>0</x:v>
      </x:c>
      <x:c r="O84" s="36" t="n">
        <x:f>IF(A84="",0,IF(AND(D84&lt;='01_설정'!$B$6,E84&lt;='01_설정'!$B$7),1,0))</x:f>
        <x:v>0</x:v>
      </x:c>
      <x:c r="P84" s="36" t="n">
        <x:f>IF(A84="",0,D84*100000+C84)</x:f>
        <x:v>0</x:v>
      </x:c>
      <x:c r="Q84" s="36" t="n">
        <x:f>IF(O84=0,0,IF(OR(R84=0,N84&lt;&gt;SUMIFS('13_검토이력'!$N$6:$N$305,'13_검토이력'!$P$6:$P$305,R84)),1,0))</x:f>
        <x:v>0</x:v>
      </x:c>
      <x:c r="R84" s="36" t="n">
        <x:f>IF(O84=0,0,_xlfn.MAXIFS('13_검토이력'!$P$6:$P$305,'13_검토이력'!$B$6:$B$305,B84,'13_검토이력'!$P$6:$P$305,"&lt;"&amp;P84,'13_검토이력'!$O$6:$O$305,1))</x:f>
        <x:v>0</x:v>
      </x:c>
      <x:c r="S84" s="36" t="n">
        <x:f>IF(A84="",0,IF(OR(H84=TRUE,H84="TRUE",H84="true"),1,0))</x:f>
        <x:v>0</x:v>
      </x:c>
    </x:row>
    <x:row r="85" ht="20" customHeight="1">
      <x:c r="A85" s="22"/>
      <x:c r="B85" s="22"/>
      <x:c r="C85" s="22"/>
      <x:c r="D85" s="28"/>
      <x:c r="E85" s="28"/>
      <x:c r="F85" s="22"/>
      <x:c r="G85" s="22"/>
      <x:c r="H85" s="22"/>
      <x:c r="I85" s="26"/>
      <x:c r="J85" s="22"/>
      <x:c r="K85" s="26"/>
      <x:c r="L85" s="26"/>
      <x:c r="M85" s="28"/>
      <x:c r="N85" s="36" t="n">
        <x:f>IF(A85="",0,IFERROR(MATCH(F85,'17_코드북'!$A$6:$A$14,0)-1,9))</x:f>
        <x:v>0</x:v>
      </x:c>
      <x:c r="O85" s="36" t="n">
        <x:f>IF(A85="",0,IF(AND(D85&lt;='01_설정'!$B$6,E85&lt;='01_설정'!$B$7),1,0))</x:f>
        <x:v>0</x:v>
      </x:c>
      <x:c r="P85" s="36" t="n">
        <x:f>IF(A85="",0,D85*100000+C85)</x:f>
        <x:v>0</x:v>
      </x:c>
      <x:c r="Q85" s="36" t="n">
        <x:f>IF(O85=0,0,IF(OR(R85=0,N85&lt;&gt;SUMIFS('13_검토이력'!$N$6:$N$305,'13_검토이력'!$P$6:$P$305,R85)),1,0))</x:f>
        <x:v>0</x:v>
      </x:c>
      <x:c r="R85" s="36" t="n">
        <x:f>IF(O85=0,0,_xlfn.MAXIFS('13_검토이력'!$P$6:$P$305,'13_검토이력'!$B$6:$B$305,B85,'13_검토이력'!$P$6:$P$305,"&lt;"&amp;P85,'13_검토이력'!$O$6:$O$305,1))</x:f>
        <x:v>0</x:v>
      </x:c>
      <x:c r="S85" s="36" t="n">
        <x:f>IF(A85="",0,IF(OR(H85=TRUE,H85="TRUE",H85="true"),1,0))</x:f>
        <x:v>0</x:v>
      </x:c>
    </x:row>
    <x:row r="86" ht="20" customHeight="1">
      <x:c r="A86" s="22"/>
      <x:c r="B86" s="22"/>
      <x:c r="C86" s="22"/>
      <x:c r="D86" s="28"/>
      <x:c r="E86" s="28"/>
      <x:c r="F86" s="22"/>
      <x:c r="G86" s="22"/>
      <x:c r="H86" s="22"/>
      <x:c r="I86" s="26"/>
      <x:c r="J86" s="22"/>
      <x:c r="K86" s="26"/>
      <x:c r="L86" s="26"/>
      <x:c r="M86" s="28"/>
      <x:c r="N86" s="36" t="n">
        <x:f>IF(A86="",0,IFERROR(MATCH(F86,'17_코드북'!$A$6:$A$14,0)-1,9))</x:f>
        <x:v>0</x:v>
      </x:c>
      <x:c r="O86" s="36" t="n">
        <x:f>IF(A86="",0,IF(AND(D86&lt;='01_설정'!$B$6,E86&lt;='01_설정'!$B$7),1,0))</x:f>
        <x:v>0</x:v>
      </x:c>
      <x:c r="P86" s="36" t="n">
        <x:f>IF(A86="",0,D86*100000+C86)</x:f>
        <x:v>0</x:v>
      </x:c>
      <x:c r="Q86" s="36" t="n">
        <x:f>IF(O86=0,0,IF(OR(R86=0,N86&lt;&gt;SUMIFS('13_검토이력'!$N$6:$N$305,'13_검토이력'!$P$6:$P$305,R86)),1,0))</x:f>
        <x:v>0</x:v>
      </x:c>
      <x:c r="R86" s="36" t="n">
        <x:f>IF(O86=0,0,_xlfn.MAXIFS('13_검토이력'!$P$6:$P$305,'13_검토이력'!$B$6:$B$305,B86,'13_검토이력'!$P$6:$P$305,"&lt;"&amp;P86,'13_검토이력'!$O$6:$O$305,1))</x:f>
        <x:v>0</x:v>
      </x:c>
      <x:c r="S86" s="36" t="n">
        <x:f>IF(A86="",0,IF(OR(H86=TRUE,H86="TRUE",H86="true"),1,0))</x:f>
        <x:v>0</x:v>
      </x:c>
    </x:row>
    <x:row r="87" ht="20" customHeight="1">
      <x:c r="A87" s="22"/>
      <x:c r="B87" s="22"/>
      <x:c r="C87" s="22"/>
      <x:c r="D87" s="28"/>
      <x:c r="E87" s="28"/>
      <x:c r="F87" s="22"/>
      <x:c r="G87" s="22"/>
      <x:c r="H87" s="22"/>
      <x:c r="I87" s="26"/>
      <x:c r="J87" s="22"/>
      <x:c r="K87" s="26"/>
      <x:c r="L87" s="26"/>
      <x:c r="M87" s="28"/>
      <x:c r="N87" s="36" t="n">
        <x:f>IF(A87="",0,IFERROR(MATCH(F87,'17_코드북'!$A$6:$A$14,0)-1,9))</x:f>
        <x:v>0</x:v>
      </x:c>
      <x:c r="O87" s="36" t="n">
        <x:f>IF(A87="",0,IF(AND(D87&lt;='01_설정'!$B$6,E87&lt;='01_설정'!$B$7),1,0))</x:f>
        <x:v>0</x:v>
      </x:c>
      <x:c r="P87" s="36" t="n">
        <x:f>IF(A87="",0,D87*100000+C87)</x:f>
        <x:v>0</x:v>
      </x:c>
      <x:c r="Q87" s="36" t="n">
        <x:f>IF(O87=0,0,IF(OR(R87=0,N87&lt;&gt;SUMIFS('13_검토이력'!$N$6:$N$305,'13_검토이력'!$P$6:$P$305,R87)),1,0))</x:f>
        <x:v>0</x:v>
      </x:c>
      <x:c r="R87" s="36" t="n">
        <x:f>IF(O87=0,0,_xlfn.MAXIFS('13_검토이력'!$P$6:$P$305,'13_검토이력'!$B$6:$B$305,B87,'13_검토이력'!$P$6:$P$305,"&lt;"&amp;P87,'13_검토이력'!$O$6:$O$305,1))</x:f>
        <x:v>0</x:v>
      </x:c>
      <x:c r="S87" s="36" t="n">
        <x:f>IF(A87="",0,IF(OR(H87=TRUE,H87="TRUE",H87="true"),1,0))</x:f>
        <x:v>0</x:v>
      </x:c>
    </x:row>
    <x:row r="88" ht="20" customHeight="1">
      <x:c r="A88" s="22"/>
      <x:c r="B88" s="22"/>
      <x:c r="C88" s="22"/>
      <x:c r="D88" s="28"/>
      <x:c r="E88" s="28"/>
      <x:c r="F88" s="22"/>
      <x:c r="G88" s="22"/>
      <x:c r="H88" s="22"/>
      <x:c r="I88" s="26"/>
      <x:c r="J88" s="22"/>
      <x:c r="K88" s="26"/>
      <x:c r="L88" s="26"/>
      <x:c r="M88" s="28"/>
      <x:c r="N88" s="36" t="n">
        <x:f>IF(A88="",0,IFERROR(MATCH(F88,'17_코드북'!$A$6:$A$14,0)-1,9))</x:f>
        <x:v>0</x:v>
      </x:c>
      <x:c r="O88" s="36" t="n">
        <x:f>IF(A88="",0,IF(AND(D88&lt;='01_설정'!$B$6,E88&lt;='01_설정'!$B$7),1,0))</x:f>
        <x:v>0</x:v>
      </x:c>
      <x:c r="P88" s="36" t="n">
        <x:f>IF(A88="",0,D88*100000+C88)</x:f>
        <x:v>0</x:v>
      </x:c>
      <x:c r="Q88" s="36" t="n">
        <x:f>IF(O88=0,0,IF(OR(R88=0,N88&lt;&gt;SUMIFS('13_검토이력'!$N$6:$N$305,'13_검토이력'!$P$6:$P$305,R88)),1,0))</x:f>
        <x:v>0</x:v>
      </x:c>
      <x:c r="R88" s="36" t="n">
        <x:f>IF(O88=0,0,_xlfn.MAXIFS('13_검토이력'!$P$6:$P$305,'13_검토이력'!$B$6:$B$305,B88,'13_검토이력'!$P$6:$P$305,"&lt;"&amp;P88,'13_검토이력'!$O$6:$O$305,1))</x:f>
        <x:v>0</x:v>
      </x:c>
      <x:c r="S88" s="36" t="n">
        <x:f>IF(A88="",0,IF(OR(H88=TRUE,H88="TRUE",H88="true"),1,0))</x:f>
        <x:v>0</x:v>
      </x:c>
    </x:row>
    <x:row r="89" ht="20" customHeight="1">
      <x:c r="A89" s="22"/>
      <x:c r="B89" s="22"/>
      <x:c r="C89" s="22"/>
      <x:c r="D89" s="28"/>
      <x:c r="E89" s="28"/>
      <x:c r="F89" s="22"/>
      <x:c r="G89" s="22"/>
      <x:c r="H89" s="22"/>
      <x:c r="I89" s="26"/>
      <x:c r="J89" s="22"/>
      <x:c r="K89" s="26"/>
      <x:c r="L89" s="26"/>
      <x:c r="M89" s="28"/>
      <x:c r="N89" s="36" t="n">
        <x:f>IF(A89="",0,IFERROR(MATCH(F89,'17_코드북'!$A$6:$A$14,0)-1,9))</x:f>
        <x:v>0</x:v>
      </x:c>
      <x:c r="O89" s="36" t="n">
        <x:f>IF(A89="",0,IF(AND(D89&lt;='01_설정'!$B$6,E89&lt;='01_설정'!$B$7),1,0))</x:f>
        <x:v>0</x:v>
      </x:c>
      <x:c r="P89" s="36" t="n">
        <x:f>IF(A89="",0,D89*100000+C89)</x:f>
        <x:v>0</x:v>
      </x:c>
      <x:c r="Q89" s="36" t="n">
        <x:f>IF(O89=0,0,IF(OR(R89=0,N89&lt;&gt;SUMIFS('13_검토이력'!$N$6:$N$305,'13_검토이력'!$P$6:$P$305,R89)),1,0))</x:f>
        <x:v>0</x:v>
      </x:c>
      <x:c r="R89" s="36" t="n">
        <x:f>IF(O89=0,0,_xlfn.MAXIFS('13_검토이력'!$P$6:$P$305,'13_검토이력'!$B$6:$B$305,B89,'13_검토이력'!$P$6:$P$305,"&lt;"&amp;P89,'13_검토이력'!$O$6:$O$305,1))</x:f>
        <x:v>0</x:v>
      </x:c>
      <x:c r="S89" s="36" t="n">
        <x:f>IF(A89="",0,IF(OR(H89=TRUE,H89="TRUE",H89="true"),1,0))</x:f>
        <x:v>0</x:v>
      </x:c>
    </x:row>
    <x:row r="90" ht="20" customHeight="1">
      <x:c r="A90" s="22"/>
      <x:c r="B90" s="22"/>
      <x:c r="C90" s="22"/>
      <x:c r="D90" s="28"/>
      <x:c r="E90" s="28"/>
      <x:c r="F90" s="22"/>
      <x:c r="G90" s="22"/>
      <x:c r="H90" s="22"/>
      <x:c r="I90" s="26"/>
      <x:c r="J90" s="22"/>
      <x:c r="K90" s="26"/>
      <x:c r="L90" s="26"/>
      <x:c r="M90" s="28"/>
      <x:c r="N90" s="36" t="n">
        <x:f>IF(A90="",0,IFERROR(MATCH(F90,'17_코드북'!$A$6:$A$14,0)-1,9))</x:f>
        <x:v>0</x:v>
      </x:c>
      <x:c r="O90" s="36" t="n">
        <x:f>IF(A90="",0,IF(AND(D90&lt;='01_설정'!$B$6,E90&lt;='01_설정'!$B$7),1,0))</x:f>
        <x:v>0</x:v>
      </x:c>
      <x:c r="P90" s="36" t="n">
        <x:f>IF(A90="",0,D90*100000+C90)</x:f>
        <x:v>0</x:v>
      </x:c>
      <x:c r="Q90" s="36" t="n">
        <x:f>IF(O90=0,0,IF(OR(R90=0,N90&lt;&gt;SUMIFS('13_검토이력'!$N$6:$N$305,'13_검토이력'!$P$6:$P$305,R90)),1,0))</x:f>
        <x:v>0</x:v>
      </x:c>
      <x:c r="R90" s="36" t="n">
        <x:f>IF(O90=0,0,_xlfn.MAXIFS('13_검토이력'!$P$6:$P$305,'13_검토이력'!$B$6:$B$305,B90,'13_검토이력'!$P$6:$P$305,"&lt;"&amp;P90,'13_검토이력'!$O$6:$O$305,1))</x:f>
        <x:v>0</x:v>
      </x:c>
      <x:c r="S90" s="36" t="n">
        <x:f>IF(A90="",0,IF(OR(H90=TRUE,H90="TRUE",H90="true"),1,0))</x:f>
        <x:v>0</x:v>
      </x:c>
    </x:row>
    <x:row r="91" ht="20" customHeight="1">
      <x:c r="A91" s="22"/>
      <x:c r="B91" s="22"/>
      <x:c r="C91" s="22"/>
      <x:c r="D91" s="28"/>
      <x:c r="E91" s="28"/>
      <x:c r="F91" s="22"/>
      <x:c r="G91" s="22"/>
      <x:c r="H91" s="22"/>
      <x:c r="I91" s="26"/>
      <x:c r="J91" s="22"/>
      <x:c r="K91" s="26"/>
      <x:c r="L91" s="26"/>
      <x:c r="M91" s="28"/>
      <x:c r="N91" s="36" t="n">
        <x:f>IF(A91="",0,IFERROR(MATCH(F91,'17_코드북'!$A$6:$A$14,0)-1,9))</x:f>
        <x:v>0</x:v>
      </x:c>
      <x:c r="O91" s="36" t="n">
        <x:f>IF(A91="",0,IF(AND(D91&lt;='01_설정'!$B$6,E91&lt;='01_설정'!$B$7),1,0))</x:f>
        <x:v>0</x:v>
      </x:c>
      <x:c r="P91" s="36" t="n">
        <x:f>IF(A91="",0,D91*100000+C91)</x:f>
        <x:v>0</x:v>
      </x:c>
      <x:c r="Q91" s="36" t="n">
        <x:f>IF(O91=0,0,IF(OR(R91=0,N91&lt;&gt;SUMIFS('13_검토이력'!$N$6:$N$305,'13_검토이력'!$P$6:$P$305,R91)),1,0))</x:f>
        <x:v>0</x:v>
      </x:c>
      <x:c r="R91" s="36" t="n">
        <x:f>IF(O91=0,0,_xlfn.MAXIFS('13_검토이력'!$P$6:$P$305,'13_검토이력'!$B$6:$B$305,B91,'13_검토이력'!$P$6:$P$305,"&lt;"&amp;P91,'13_검토이력'!$O$6:$O$305,1))</x:f>
        <x:v>0</x:v>
      </x:c>
      <x:c r="S91" s="36" t="n">
        <x:f>IF(A91="",0,IF(OR(H91=TRUE,H91="TRUE",H91="true"),1,0))</x:f>
        <x:v>0</x:v>
      </x:c>
    </x:row>
    <x:row r="92" ht="20" customHeight="1">
      <x:c r="A92" s="22"/>
      <x:c r="B92" s="22"/>
      <x:c r="C92" s="22"/>
      <x:c r="D92" s="28"/>
      <x:c r="E92" s="28"/>
      <x:c r="F92" s="22"/>
      <x:c r="G92" s="22"/>
      <x:c r="H92" s="22"/>
      <x:c r="I92" s="26"/>
      <x:c r="J92" s="22"/>
      <x:c r="K92" s="26"/>
      <x:c r="L92" s="26"/>
      <x:c r="M92" s="28"/>
      <x:c r="N92" s="36" t="n">
        <x:f>IF(A92="",0,IFERROR(MATCH(F92,'17_코드북'!$A$6:$A$14,0)-1,9))</x:f>
        <x:v>0</x:v>
      </x:c>
      <x:c r="O92" s="36" t="n">
        <x:f>IF(A92="",0,IF(AND(D92&lt;='01_설정'!$B$6,E92&lt;='01_설정'!$B$7),1,0))</x:f>
        <x:v>0</x:v>
      </x:c>
      <x:c r="P92" s="36" t="n">
        <x:f>IF(A92="",0,D92*100000+C92)</x:f>
        <x:v>0</x:v>
      </x:c>
      <x:c r="Q92" s="36" t="n">
        <x:f>IF(O92=0,0,IF(OR(R92=0,N92&lt;&gt;SUMIFS('13_검토이력'!$N$6:$N$305,'13_검토이력'!$P$6:$P$305,R92)),1,0))</x:f>
        <x:v>0</x:v>
      </x:c>
      <x:c r="R92" s="36" t="n">
        <x:f>IF(O92=0,0,_xlfn.MAXIFS('13_검토이력'!$P$6:$P$305,'13_검토이력'!$B$6:$B$305,B92,'13_검토이력'!$P$6:$P$305,"&lt;"&amp;P92,'13_검토이력'!$O$6:$O$305,1))</x:f>
        <x:v>0</x:v>
      </x:c>
      <x:c r="S92" s="36" t="n">
        <x:f>IF(A92="",0,IF(OR(H92=TRUE,H92="TRUE",H92="true"),1,0))</x:f>
        <x:v>0</x:v>
      </x:c>
    </x:row>
    <x:row r="93" ht="20" customHeight="1">
      <x:c r="A93" s="22"/>
      <x:c r="B93" s="22"/>
      <x:c r="C93" s="22"/>
      <x:c r="D93" s="28"/>
      <x:c r="E93" s="28"/>
      <x:c r="F93" s="22"/>
      <x:c r="G93" s="22"/>
      <x:c r="H93" s="22"/>
      <x:c r="I93" s="26"/>
      <x:c r="J93" s="22"/>
      <x:c r="K93" s="26"/>
      <x:c r="L93" s="26"/>
      <x:c r="M93" s="28"/>
      <x:c r="N93" s="36" t="n">
        <x:f>IF(A93="",0,IFERROR(MATCH(F93,'17_코드북'!$A$6:$A$14,0)-1,9))</x:f>
        <x:v>0</x:v>
      </x:c>
      <x:c r="O93" s="36" t="n">
        <x:f>IF(A93="",0,IF(AND(D93&lt;='01_설정'!$B$6,E93&lt;='01_설정'!$B$7),1,0))</x:f>
        <x:v>0</x:v>
      </x:c>
      <x:c r="P93" s="36" t="n">
        <x:f>IF(A93="",0,D93*100000+C93)</x:f>
        <x:v>0</x:v>
      </x:c>
      <x:c r="Q93" s="36" t="n">
        <x:f>IF(O93=0,0,IF(OR(R93=0,N93&lt;&gt;SUMIFS('13_검토이력'!$N$6:$N$305,'13_검토이력'!$P$6:$P$305,R93)),1,0))</x:f>
        <x:v>0</x:v>
      </x:c>
      <x:c r="R93" s="36" t="n">
        <x:f>IF(O93=0,0,_xlfn.MAXIFS('13_검토이력'!$P$6:$P$305,'13_검토이력'!$B$6:$B$305,B93,'13_검토이력'!$P$6:$P$305,"&lt;"&amp;P93,'13_검토이력'!$O$6:$O$305,1))</x:f>
        <x:v>0</x:v>
      </x:c>
      <x:c r="S93" s="36" t="n">
        <x:f>IF(A93="",0,IF(OR(H93=TRUE,H93="TRUE",H93="true"),1,0))</x:f>
        <x:v>0</x:v>
      </x:c>
    </x:row>
    <x:row r="94" ht="20" customHeight="1">
      <x:c r="A94" s="22"/>
      <x:c r="B94" s="22"/>
      <x:c r="C94" s="22"/>
      <x:c r="D94" s="28"/>
      <x:c r="E94" s="28"/>
      <x:c r="F94" s="22"/>
      <x:c r="G94" s="22"/>
      <x:c r="H94" s="22"/>
      <x:c r="I94" s="26"/>
      <x:c r="J94" s="22"/>
      <x:c r="K94" s="26"/>
      <x:c r="L94" s="26"/>
      <x:c r="M94" s="28"/>
      <x:c r="N94" s="36" t="n">
        <x:f>IF(A94="",0,IFERROR(MATCH(F94,'17_코드북'!$A$6:$A$14,0)-1,9))</x:f>
        <x:v>0</x:v>
      </x:c>
      <x:c r="O94" s="36" t="n">
        <x:f>IF(A94="",0,IF(AND(D94&lt;='01_설정'!$B$6,E94&lt;='01_설정'!$B$7),1,0))</x:f>
        <x:v>0</x:v>
      </x:c>
      <x:c r="P94" s="36" t="n">
        <x:f>IF(A94="",0,D94*100000+C94)</x:f>
        <x:v>0</x:v>
      </x:c>
      <x:c r="Q94" s="36" t="n">
        <x:f>IF(O94=0,0,IF(OR(R94=0,N94&lt;&gt;SUMIFS('13_검토이력'!$N$6:$N$305,'13_검토이력'!$P$6:$P$305,R94)),1,0))</x:f>
        <x:v>0</x:v>
      </x:c>
      <x:c r="R94" s="36" t="n">
        <x:f>IF(O94=0,0,_xlfn.MAXIFS('13_검토이력'!$P$6:$P$305,'13_검토이력'!$B$6:$B$305,B94,'13_검토이력'!$P$6:$P$305,"&lt;"&amp;P94,'13_검토이력'!$O$6:$O$305,1))</x:f>
        <x:v>0</x:v>
      </x:c>
      <x:c r="S94" s="36" t="n">
        <x:f>IF(A94="",0,IF(OR(H94=TRUE,H94="TRUE",H94="true"),1,0))</x:f>
        <x:v>0</x:v>
      </x:c>
    </x:row>
    <x:row r="95" ht="20" customHeight="1">
      <x:c r="A95" s="22"/>
      <x:c r="B95" s="22"/>
      <x:c r="C95" s="22"/>
      <x:c r="D95" s="28"/>
      <x:c r="E95" s="28"/>
      <x:c r="F95" s="22"/>
      <x:c r="G95" s="22"/>
      <x:c r="H95" s="22"/>
      <x:c r="I95" s="26"/>
      <x:c r="J95" s="22"/>
      <x:c r="K95" s="26"/>
      <x:c r="L95" s="26"/>
      <x:c r="M95" s="28"/>
      <x:c r="N95" s="36" t="n">
        <x:f>IF(A95="",0,IFERROR(MATCH(F95,'17_코드북'!$A$6:$A$14,0)-1,9))</x:f>
        <x:v>0</x:v>
      </x:c>
      <x:c r="O95" s="36" t="n">
        <x:f>IF(A95="",0,IF(AND(D95&lt;='01_설정'!$B$6,E95&lt;='01_설정'!$B$7),1,0))</x:f>
        <x:v>0</x:v>
      </x:c>
      <x:c r="P95" s="36" t="n">
        <x:f>IF(A95="",0,D95*100000+C95)</x:f>
        <x:v>0</x:v>
      </x:c>
      <x:c r="Q95" s="36" t="n">
        <x:f>IF(O95=0,0,IF(OR(R95=0,N95&lt;&gt;SUMIFS('13_검토이력'!$N$6:$N$305,'13_검토이력'!$P$6:$P$305,R95)),1,0))</x:f>
        <x:v>0</x:v>
      </x:c>
      <x:c r="R95" s="36" t="n">
        <x:f>IF(O95=0,0,_xlfn.MAXIFS('13_검토이력'!$P$6:$P$305,'13_검토이력'!$B$6:$B$305,B95,'13_검토이력'!$P$6:$P$305,"&lt;"&amp;P95,'13_검토이력'!$O$6:$O$305,1))</x:f>
        <x:v>0</x:v>
      </x:c>
      <x:c r="S95" s="36" t="n">
        <x:f>IF(A95="",0,IF(OR(H95=TRUE,H95="TRUE",H95="true"),1,0))</x:f>
        <x:v>0</x:v>
      </x:c>
    </x:row>
    <x:row r="96" ht="20" customHeight="1">
      <x:c r="A96" s="22"/>
      <x:c r="B96" s="22"/>
      <x:c r="C96" s="22"/>
      <x:c r="D96" s="28"/>
      <x:c r="E96" s="28"/>
      <x:c r="F96" s="22"/>
      <x:c r="G96" s="22"/>
      <x:c r="H96" s="22"/>
      <x:c r="I96" s="26"/>
      <x:c r="J96" s="22"/>
      <x:c r="K96" s="26"/>
      <x:c r="L96" s="26"/>
      <x:c r="M96" s="28"/>
      <x:c r="N96" s="36" t="n">
        <x:f>IF(A96="",0,IFERROR(MATCH(F96,'17_코드북'!$A$6:$A$14,0)-1,9))</x:f>
        <x:v>0</x:v>
      </x:c>
      <x:c r="O96" s="36" t="n">
        <x:f>IF(A96="",0,IF(AND(D96&lt;='01_설정'!$B$6,E96&lt;='01_설정'!$B$7),1,0))</x:f>
        <x:v>0</x:v>
      </x:c>
      <x:c r="P96" s="36" t="n">
        <x:f>IF(A96="",0,D96*100000+C96)</x:f>
        <x:v>0</x:v>
      </x:c>
      <x:c r="Q96" s="36" t="n">
        <x:f>IF(O96=0,0,IF(OR(R96=0,N96&lt;&gt;SUMIFS('13_검토이력'!$N$6:$N$305,'13_검토이력'!$P$6:$P$305,R96)),1,0))</x:f>
        <x:v>0</x:v>
      </x:c>
      <x:c r="R96" s="36" t="n">
        <x:f>IF(O96=0,0,_xlfn.MAXIFS('13_검토이력'!$P$6:$P$305,'13_검토이력'!$B$6:$B$305,B96,'13_검토이력'!$P$6:$P$305,"&lt;"&amp;P96,'13_검토이력'!$O$6:$O$305,1))</x:f>
        <x:v>0</x:v>
      </x:c>
      <x:c r="S96" s="36" t="n">
        <x:f>IF(A96="",0,IF(OR(H96=TRUE,H96="TRUE",H96="true"),1,0))</x:f>
        <x:v>0</x:v>
      </x:c>
    </x:row>
    <x:row r="97" ht="20" customHeight="1">
      <x:c r="A97" s="22"/>
      <x:c r="B97" s="22"/>
      <x:c r="C97" s="22"/>
      <x:c r="D97" s="28"/>
      <x:c r="E97" s="28"/>
      <x:c r="F97" s="22"/>
      <x:c r="G97" s="22"/>
      <x:c r="H97" s="22"/>
      <x:c r="I97" s="26"/>
      <x:c r="J97" s="22"/>
      <x:c r="K97" s="26"/>
      <x:c r="L97" s="26"/>
      <x:c r="M97" s="28"/>
      <x:c r="N97" s="36" t="n">
        <x:f>IF(A97="",0,IFERROR(MATCH(F97,'17_코드북'!$A$6:$A$14,0)-1,9))</x:f>
        <x:v>0</x:v>
      </x:c>
      <x:c r="O97" s="36" t="n">
        <x:f>IF(A97="",0,IF(AND(D97&lt;='01_설정'!$B$6,E97&lt;='01_설정'!$B$7),1,0))</x:f>
        <x:v>0</x:v>
      </x:c>
      <x:c r="P97" s="36" t="n">
        <x:f>IF(A97="",0,D97*100000+C97)</x:f>
        <x:v>0</x:v>
      </x:c>
      <x:c r="Q97" s="36" t="n">
        <x:f>IF(O97=0,0,IF(OR(R97=0,N97&lt;&gt;SUMIFS('13_검토이력'!$N$6:$N$305,'13_검토이력'!$P$6:$P$305,R97)),1,0))</x:f>
        <x:v>0</x:v>
      </x:c>
      <x:c r="R97" s="36" t="n">
        <x:f>IF(O97=0,0,_xlfn.MAXIFS('13_검토이력'!$P$6:$P$305,'13_검토이력'!$B$6:$B$305,B97,'13_검토이력'!$P$6:$P$305,"&lt;"&amp;P97,'13_검토이력'!$O$6:$O$305,1))</x:f>
        <x:v>0</x:v>
      </x:c>
      <x:c r="S97" s="36" t="n">
        <x:f>IF(A97="",0,IF(OR(H97=TRUE,H97="TRUE",H97="true"),1,0))</x:f>
        <x:v>0</x:v>
      </x:c>
    </x:row>
    <x:row r="98" ht="20" customHeight="1">
      <x:c r="A98" s="22"/>
      <x:c r="B98" s="22"/>
      <x:c r="C98" s="22"/>
      <x:c r="D98" s="28"/>
      <x:c r="E98" s="28"/>
      <x:c r="F98" s="22"/>
      <x:c r="G98" s="22"/>
      <x:c r="H98" s="22"/>
      <x:c r="I98" s="26"/>
      <x:c r="J98" s="22"/>
      <x:c r="K98" s="26"/>
      <x:c r="L98" s="26"/>
      <x:c r="M98" s="28"/>
      <x:c r="N98" s="36" t="n">
        <x:f>IF(A98="",0,IFERROR(MATCH(F98,'17_코드북'!$A$6:$A$14,0)-1,9))</x:f>
        <x:v>0</x:v>
      </x:c>
      <x:c r="O98" s="36" t="n">
        <x:f>IF(A98="",0,IF(AND(D98&lt;='01_설정'!$B$6,E98&lt;='01_설정'!$B$7),1,0))</x:f>
        <x:v>0</x:v>
      </x:c>
      <x:c r="P98" s="36" t="n">
        <x:f>IF(A98="",0,D98*100000+C98)</x:f>
        <x:v>0</x:v>
      </x:c>
      <x:c r="Q98" s="36" t="n">
        <x:f>IF(O98=0,0,IF(OR(R98=0,N98&lt;&gt;SUMIFS('13_검토이력'!$N$6:$N$305,'13_검토이력'!$P$6:$P$305,R98)),1,0))</x:f>
        <x:v>0</x:v>
      </x:c>
      <x:c r="R98" s="36" t="n">
        <x:f>IF(O98=0,0,_xlfn.MAXIFS('13_검토이력'!$P$6:$P$305,'13_검토이력'!$B$6:$B$305,B98,'13_검토이력'!$P$6:$P$305,"&lt;"&amp;P98,'13_검토이력'!$O$6:$O$305,1))</x:f>
        <x:v>0</x:v>
      </x:c>
      <x:c r="S98" s="36" t="n">
        <x:f>IF(A98="",0,IF(OR(H98=TRUE,H98="TRUE",H98="true"),1,0))</x:f>
        <x:v>0</x:v>
      </x:c>
    </x:row>
    <x:row r="99" ht="20" customHeight="1">
      <x:c r="A99" s="22"/>
      <x:c r="B99" s="22"/>
      <x:c r="C99" s="22"/>
      <x:c r="D99" s="28"/>
      <x:c r="E99" s="28"/>
      <x:c r="F99" s="22"/>
      <x:c r="G99" s="22"/>
      <x:c r="H99" s="22"/>
      <x:c r="I99" s="26"/>
      <x:c r="J99" s="22"/>
      <x:c r="K99" s="26"/>
      <x:c r="L99" s="26"/>
      <x:c r="M99" s="28"/>
      <x:c r="N99" s="36" t="n">
        <x:f>IF(A99="",0,IFERROR(MATCH(F99,'17_코드북'!$A$6:$A$14,0)-1,9))</x:f>
        <x:v>0</x:v>
      </x:c>
      <x:c r="O99" s="36" t="n">
        <x:f>IF(A99="",0,IF(AND(D99&lt;='01_설정'!$B$6,E99&lt;='01_설정'!$B$7),1,0))</x:f>
        <x:v>0</x:v>
      </x:c>
      <x:c r="P99" s="36" t="n">
        <x:f>IF(A99="",0,D99*100000+C99)</x:f>
        <x:v>0</x:v>
      </x:c>
      <x:c r="Q99" s="36" t="n">
        <x:f>IF(O99=0,0,IF(OR(R99=0,N99&lt;&gt;SUMIFS('13_검토이력'!$N$6:$N$305,'13_검토이력'!$P$6:$P$305,R99)),1,0))</x:f>
        <x:v>0</x:v>
      </x:c>
      <x:c r="R99" s="36" t="n">
        <x:f>IF(O99=0,0,_xlfn.MAXIFS('13_검토이력'!$P$6:$P$305,'13_검토이력'!$B$6:$B$305,B99,'13_검토이력'!$P$6:$P$305,"&lt;"&amp;P99,'13_검토이력'!$O$6:$O$305,1))</x:f>
        <x:v>0</x:v>
      </x:c>
      <x:c r="S99" s="36" t="n">
        <x:f>IF(A99="",0,IF(OR(H99=TRUE,H99="TRUE",H99="true"),1,0))</x:f>
        <x:v>0</x:v>
      </x:c>
    </x:row>
    <x:row r="100" ht="20" customHeight="1">
      <x:c r="A100" s="22"/>
      <x:c r="B100" s="22"/>
      <x:c r="C100" s="22"/>
      <x:c r="D100" s="28"/>
      <x:c r="E100" s="28"/>
      <x:c r="F100" s="22"/>
      <x:c r="G100" s="22"/>
      <x:c r="H100" s="22"/>
      <x:c r="I100" s="26"/>
      <x:c r="J100" s="22"/>
      <x:c r="K100" s="26"/>
      <x:c r="L100" s="26"/>
      <x:c r="M100" s="28"/>
      <x:c r="N100" s="36" t="n">
        <x:f>IF(A100="",0,IFERROR(MATCH(F100,'17_코드북'!$A$6:$A$14,0)-1,9))</x:f>
        <x:v>0</x:v>
      </x:c>
      <x:c r="O100" s="36" t="n">
        <x:f>IF(A100="",0,IF(AND(D100&lt;='01_설정'!$B$6,E100&lt;='01_설정'!$B$7),1,0))</x:f>
        <x:v>0</x:v>
      </x:c>
      <x:c r="P100" s="36" t="n">
        <x:f>IF(A100="",0,D100*100000+C100)</x:f>
        <x:v>0</x:v>
      </x:c>
      <x:c r="Q100" s="36" t="n">
        <x:f>IF(O100=0,0,IF(OR(R100=0,N100&lt;&gt;SUMIFS('13_검토이력'!$N$6:$N$305,'13_검토이력'!$P$6:$P$305,R100)),1,0))</x:f>
        <x:v>0</x:v>
      </x:c>
      <x:c r="R100" s="36" t="n">
        <x:f>IF(O100=0,0,_xlfn.MAXIFS('13_검토이력'!$P$6:$P$305,'13_검토이력'!$B$6:$B$305,B100,'13_검토이력'!$P$6:$P$305,"&lt;"&amp;P100,'13_검토이력'!$O$6:$O$305,1))</x:f>
        <x:v>0</x:v>
      </x:c>
      <x:c r="S100" s="36" t="n">
        <x:f>IF(A100="",0,IF(OR(H100=TRUE,H100="TRUE",H100="true"),1,0))</x:f>
        <x:v>0</x:v>
      </x:c>
    </x:row>
    <x:row r="101" ht="20" customHeight="1">
      <x:c r="A101" s="22"/>
      <x:c r="B101" s="22"/>
      <x:c r="C101" s="22"/>
      <x:c r="D101" s="28"/>
      <x:c r="E101" s="28"/>
      <x:c r="F101" s="22"/>
      <x:c r="G101" s="22"/>
      <x:c r="H101" s="22"/>
      <x:c r="I101" s="26"/>
      <x:c r="J101" s="22"/>
      <x:c r="K101" s="26"/>
      <x:c r="L101" s="26"/>
      <x:c r="M101" s="28"/>
      <x:c r="N101" s="36" t="n">
        <x:f>IF(A101="",0,IFERROR(MATCH(F101,'17_코드북'!$A$6:$A$14,0)-1,9))</x:f>
        <x:v>0</x:v>
      </x:c>
      <x:c r="O101" s="36" t="n">
        <x:f>IF(A101="",0,IF(AND(D101&lt;='01_설정'!$B$6,E101&lt;='01_설정'!$B$7),1,0))</x:f>
        <x:v>0</x:v>
      </x:c>
      <x:c r="P101" s="36" t="n">
        <x:f>IF(A101="",0,D101*100000+C101)</x:f>
        <x:v>0</x:v>
      </x:c>
      <x:c r="Q101" s="36" t="n">
        <x:f>IF(O101=0,0,IF(OR(R101=0,N101&lt;&gt;SUMIFS('13_검토이력'!$N$6:$N$305,'13_검토이력'!$P$6:$P$305,R101)),1,0))</x:f>
        <x:v>0</x:v>
      </x:c>
      <x:c r="R101" s="36" t="n">
        <x:f>IF(O101=0,0,_xlfn.MAXIFS('13_검토이력'!$P$6:$P$305,'13_검토이력'!$B$6:$B$305,B101,'13_검토이력'!$P$6:$P$305,"&lt;"&amp;P101,'13_검토이력'!$O$6:$O$305,1))</x:f>
        <x:v>0</x:v>
      </x:c>
      <x:c r="S101" s="36" t="n">
        <x:f>IF(A101="",0,IF(OR(H101=TRUE,H101="TRUE",H101="true"),1,0))</x:f>
        <x:v>0</x:v>
      </x:c>
    </x:row>
    <x:row r="102" ht="20" customHeight="1">
      <x:c r="A102" s="22"/>
      <x:c r="B102" s="22"/>
      <x:c r="C102" s="22"/>
      <x:c r="D102" s="28"/>
      <x:c r="E102" s="28"/>
      <x:c r="F102" s="22"/>
      <x:c r="G102" s="22"/>
      <x:c r="H102" s="22"/>
      <x:c r="I102" s="26"/>
      <x:c r="J102" s="22"/>
      <x:c r="K102" s="26"/>
      <x:c r="L102" s="26"/>
      <x:c r="M102" s="28"/>
      <x:c r="N102" s="36" t="n">
        <x:f>IF(A102="",0,IFERROR(MATCH(F102,'17_코드북'!$A$6:$A$14,0)-1,9))</x:f>
        <x:v>0</x:v>
      </x:c>
      <x:c r="O102" s="36" t="n">
        <x:f>IF(A102="",0,IF(AND(D102&lt;='01_설정'!$B$6,E102&lt;='01_설정'!$B$7),1,0))</x:f>
        <x:v>0</x:v>
      </x:c>
      <x:c r="P102" s="36" t="n">
        <x:f>IF(A102="",0,D102*100000+C102)</x:f>
        <x:v>0</x:v>
      </x:c>
      <x:c r="Q102" s="36" t="n">
        <x:f>IF(O102=0,0,IF(OR(R102=0,N102&lt;&gt;SUMIFS('13_검토이력'!$N$6:$N$305,'13_검토이력'!$P$6:$P$305,R102)),1,0))</x:f>
        <x:v>0</x:v>
      </x:c>
      <x:c r="R102" s="36" t="n">
        <x:f>IF(O102=0,0,_xlfn.MAXIFS('13_검토이력'!$P$6:$P$305,'13_검토이력'!$B$6:$B$305,B102,'13_검토이력'!$P$6:$P$305,"&lt;"&amp;P102,'13_검토이력'!$O$6:$O$305,1))</x:f>
        <x:v>0</x:v>
      </x:c>
      <x:c r="S102" s="36" t="n">
        <x:f>IF(A102="",0,IF(OR(H102=TRUE,H102="TRUE",H102="true"),1,0))</x:f>
        <x:v>0</x:v>
      </x:c>
    </x:row>
    <x:row r="103" ht="20" customHeight="1">
      <x:c r="A103" s="22"/>
      <x:c r="B103" s="22"/>
      <x:c r="C103" s="22"/>
      <x:c r="D103" s="28"/>
      <x:c r="E103" s="28"/>
      <x:c r="F103" s="22"/>
      <x:c r="G103" s="22"/>
      <x:c r="H103" s="22"/>
      <x:c r="I103" s="26"/>
      <x:c r="J103" s="22"/>
      <x:c r="K103" s="26"/>
      <x:c r="L103" s="26"/>
      <x:c r="M103" s="28"/>
      <x:c r="N103" s="36" t="n">
        <x:f>IF(A103="",0,IFERROR(MATCH(F103,'17_코드북'!$A$6:$A$14,0)-1,9))</x:f>
        <x:v>0</x:v>
      </x:c>
      <x:c r="O103" s="36" t="n">
        <x:f>IF(A103="",0,IF(AND(D103&lt;='01_설정'!$B$6,E103&lt;='01_설정'!$B$7),1,0))</x:f>
        <x:v>0</x:v>
      </x:c>
      <x:c r="P103" s="36" t="n">
        <x:f>IF(A103="",0,D103*100000+C103)</x:f>
        <x:v>0</x:v>
      </x:c>
      <x:c r="Q103" s="36" t="n">
        <x:f>IF(O103=0,0,IF(OR(R103=0,N103&lt;&gt;SUMIFS('13_검토이력'!$N$6:$N$305,'13_검토이력'!$P$6:$P$305,R103)),1,0))</x:f>
        <x:v>0</x:v>
      </x:c>
      <x:c r="R103" s="36" t="n">
        <x:f>IF(O103=0,0,_xlfn.MAXIFS('13_검토이력'!$P$6:$P$305,'13_검토이력'!$B$6:$B$305,B103,'13_검토이력'!$P$6:$P$305,"&lt;"&amp;P103,'13_검토이력'!$O$6:$O$305,1))</x:f>
        <x:v>0</x:v>
      </x:c>
      <x:c r="S103" s="36" t="n">
        <x:f>IF(A103="",0,IF(OR(H103=TRUE,H103="TRUE",H103="true"),1,0))</x:f>
        <x:v>0</x:v>
      </x:c>
    </x:row>
    <x:row r="104" ht="20" customHeight="1">
      <x:c r="A104" s="22"/>
      <x:c r="B104" s="22"/>
      <x:c r="C104" s="22"/>
      <x:c r="D104" s="28"/>
      <x:c r="E104" s="28"/>
      <x:c r="F104" s="22"/>
      <x:c r="G104" s="22"/>
      <x:c r="H104" s="22"/>
      <x:c r="I104" s="26"/>
      <x:c r="J104" s="22"/>
      <x:c r="K104" s="26"/>
      <x:c r="L104" s="26"/>
      <x:c r="M104" s="28"/>
      <x:c r="N104" s="36" t="n">
        <x:f>IF(A104="",0,IFERROR(MATCH(F104,'17_코드북'!$A$6:$A$14,0)-1,9))</x:f>
        <x:v>0</x:v>
      </x:c>
      <x:c r="O104" s="36" t="n">
        <x:f>IF(A104="",0,IF(AND(D104&lt;='01_설정'!$B$6,E104&lt;='01_설정'!$B$7),1,0))</x:f>
        <x:v>0</x:v>
      </x:c>
      <x:c r="P104" s="36" t="n">
        <x:f>IF(A104="",0,D104*100000+C104)</x:f>
        <x:v>0</x:v>
      </x:c>
      <x:c r="Q104" s="36" t="n">
        <x:f>IF(O104=0,0,IF(OR(R104=0,N104&lt;&gt;SUMIFS('13_검토이력'!$N$6:$N$305,'13_검토이력'!$P$6:$P$305,R104)),1,0))</x:f>
        <x:v>0</x:v>
      </x:c>
      <x:c r="R104" s="36" t="n">
        <x:f>IF(O104=0,0,_xlfn.MAXIFS('13_검토이력'!$P$6:$P$305,'13_검토이력'!$B$6:$B$305,B104,'13_검토이력'!$P$6:$P$305,"&lt;"&amp;P104,'13_검토이력'!$O$6:$O$305,1))</x:f>
        <x:v>0</x:v>
      </x:c>
      <x:c r="S104" s="36" t="n">
        <x:f>IF(A104="",0,IF(OR(H104=TRUE,H104="TRUE",H104="true"),1,0))</x:f>
        <x:v>0</x:v>
      </x:c>
    </x:row>
    <x:row r="105" ht="20" customHeight="1">
      <x:c r="A105" s="22"/>
      <x:c r="B105" s="22"/>
      <x:c r="C105" s="22"/>
      <x:c r="D105" s="28"/>
      <x:c r="E105" s="28"/>
      <x:c r="F105" s="22"/>
      <x:c r="G105" s="22"/>
      <x:c r="H105" s="22"/>
      <x:c r="I105" s="26"/>
      <x:c r="J105" s="22"/>
      <x:c r="K105" s="26"/>
      <x:c r="L105" s="26"/>
      <x:c r="M105" s="28"/>
      <x:c r="N105" s="36" t="n">
        <x:f>IF(A105="",0,IFERROR(MATCH(F105,'17_코드북'!$A$6:$A$14,0)-1,9))</x:f>
        <x:v>0</x:v>
      </x:c>
      <x:c r="O105" s="36" t="n">
        <x:f>IF(A105="",0,IF(AND(D105&lt;='01_설정'!$B$6,E105&lt;='01_설정'!$B$7),1,0))</x:f>
        <x:v>0</x:v>
      </x:c>
      <x:c r="P105" s="36" t="n">
        <x:f>IF(A105="",0,D105*100000+C105)</x:f>
        <x:v>0</x:v>
      </x:c>
      <x:c r="Q105" s="36" t="n">
        <x:f>IF(O105=0,0,IF(OR(R105=0,N105&lt;&gt;SUMIFS('13_검토이력'!$N$6:$N$305,'13_검토이력'!$P$6:$P$305,R105)),1,0))</x:f>
        <x:v>0</x:v>
      </x:c>
      <x:c r="R105" s="36" t="n">
        <x:f>IF(O105=0,0,_xlfn.MAXIFS('13_검토이력'!$P$6:$P$305,'13_검토이력'!$B$6:$B$305,B105,'13_검토이력'!$P$6:$P$305,"&lt;"&amp;P105,'13_검토이력'!$O$6:$O$305,1))</x:f>
        <x:v>0</x:v>
      </x:c>
      <x:c r="S105" s="36" t="n">
        <x:f>IF(A105="",0,IF(OR(H105=TRUE,H105="TRUE",H105="true"),1,0))</x:f>
        <x:v>0</x:v>
      </x:c>
    </x:row>
    <x:row r="106" ht="20" customHeight="1">
      <x:c r="A106" s="22"/>
      <x:c r="B106" s="22"/>
      <x:c r="C106" s="22"/>
      <x:c r="D106" s="28"/>
      <x:c r="E106" s="28"/>
      <x:c r="F106" s="22"/>
      <x:c r="G106" s="22"/>
      <x:c r="H106" s="22"/>
      <x:c r="I106" s="26"/>
      <x:c r="J106" s="22"/>
      <x:c r="K106" s="26"/>
      <x:c r="L106" s="26"/>
      <x:c r="M106" s="28"/>
      <x:c r="N106" s="36" t="n">
        <x:f>IF(A106="",0,IFERROR(MATCH(F106,'17_코드북'!$A$6:$A$14,0)-1,9))</x:f>
        <x:v>0</x:v>
      </x:c>
      <x:c r="O106" s="36" t="n">
        <x:f>IF(A106="",0,IF(AND(D106&lt;='01_설정'!$B$6,E106&lt;='01_설정'!$B$7),1,0))</x:f>
        <x:v>0</x:v>
      </x:c>
      <x:c r="P106" s="36" t="n">
        <x:f>IF(A106="",0,D106*100000+C106)</x:f>
        <x:v>0</x:v>
      </x:c>
      <x:c r="Q106" s="36" t="n">
        <x:f>IF(O106=0,0,IF(OR(R106=0,N106&lt;&gt;SUMIFS('13_검토이력'!$N$6:$N$305,'13_검토이력'!$P$6:$P$305,R106)),1,0))</x:f>
        <x:v>0</x:v>
      </x:c>
      <x:c r="R106" s="36" t="n">
        <x:f>IF(O106=0,0,_xlfn.MAXIFS('13_검토이력'!$P$6:$P$305,'13_검토이력'!$B$6:$B$305,B106,'13_검토이력'!$P$6:$P$305,"&lt;"&amp;P106,'13_검토이력'!$O$6:$O$305,1))</x:f>
        <x:v>0</x:v>
      </x:c>
      <x:c r="S106" s="36" t="n">
        <x:f>IF(A106="",0,IF(OR(H106=TRUE,H106="TRUE",H106="true"),1,0))</x:f>
        <x:v>0</x:v>
      </x:c>
    </x:row>
    <x:row r="107" ht="20" customHeight="1">
      <x:c r="A107" s="22"/>
      <x:c r="B107" s="22"/>
      <x:c r="C107" s="22"/>
      <x:c r="D107" s="28"/>
      <x:c r="E107" s="28"/>
      <x:c r="F107" s="22"/>
      <x:c r="G107" s="22"/>
      <x:c r="H107" s="22"/>
      <x:c r="I107" s="26"/>
      <x:c r="J107" s="22"/>
      <x:c r="K107" s="26"/>
      <x:c r="L107" s="26"/>
      <x:c r="M107" s="28"/>
      <x:c r="N107" s="36" t="n">
        <x:f>IF(A107="",0,IFERROR(MATCH(F107,'17_코드북'!$A$6:$A$14,0)-1,9))</x:f>
        <x:v>0</x:v>
      </x:c>
      <x:c r="O107" s="36" t="n">
        <x:f>IF(A107="",0,IF(AND(D107&lt;='01_설정'!$B$6,E107&lt;='01_설정'!$B$7),1,0))</x:f>
        <x:v>0</x:v>
      </x:c>
      <x:c r="P107" s="36" t="n">
        <x:f>IF(A107="",0,D107*100000+C107)</x:f>
        <x:v>0</x:v>
      </x:c>
      <x:c r="Q107" s="36" t="n">
        <x:f>IF(O107=0,0,IF(OR(R107=0,N107&lt;&gt;SUMIFS('13_검토이력'!$N$6:$N$305,'13_검토이력'!$P$6:$P$305,R107)),1,0))</x:f>
        <x:v>0</x:v>
      </x:c>
      <x:c r="R107" s="36" t="n">
        <x:f>IF(O107=0,0,_xlfn.MAXIFS('13_검토이력'!$P$6:$P$305,'13_검토이력'!$B$6:$B$305,B107,'13_검토이력'!$P$6:$P$305,"&lt;"&amp;P107,'13_검토이력'!$O$6:$O$305,1))</x:f>
        <x:v>0</x:v>
      </x:c>
      <x:c r="S107" s="36" t="n">
        <x:f>IF(A107="",0,IF(OR(H107=TRUE,H107="TRUE",H107="true"),1,0))</x:f>
        <x:v>0</x:v>
      </x:c>
    </x:row>
    <x:row r="108" ht="20" customHeight="1">
      <x:c r="A108" s="22"/>
      <x:c r="B108" s="22"/>
      <x:c r="C108" s="22"/>
      <x:c r="D108" s="28"/>
      <x:c r="E108" s="28"/>
      <x:c r="F108" s="22"/>
      <x:c r="G108" s="22"/>
      <x:c r="H108" s="22"/>
      <x:c r="I108" s="26"/>
      <x:c r="J108" s="22"/>
      <x:c r="K108" s="26"/>
      <x:c r="L108" s="26"/>
      <x:c r="M108" s="28"/>
      <x:c r="N108" s="36" t="n">
        <x:f>IF(A108="",0,IFERROR(MATCH(F108,'17_코드북'!$A$6:$A$14,0)-1,9))</x:f>
        <x:v>0</x:v>
      </x:c>
      <x:c r="O108" s="36" t="n">
        <x:f>IF(A108="",0,IF(AND(D108&lt;='01_설정'!$B$6,E108&lt;='01_설정'!$B$7),1,0))</x:f>
        <x:v>0</x:v>
      </x:c>
      <x:c r="P108" s="36" t="n">
        <x:f>IF(A108="",0,D108*100000+C108)</x:f>
        <x:v>0</x:v>
      </x:c>
      <x:c r="Q108" s="36" t="n">
        <x:f>IF(O108=0,0,IF(OR(R108=0,N108&lt;&gt;SUMIFS('13_검토이력'!$N$6:$N$305,'13_검토이력'!$P$6:$P$305,R108)),1,0))</x:f>
        <x:v>0</x:v>
      </x:c>
      <x:c r="R108" s="36" t="n">
        <x:f>IF(O108=0,0,_xlfn.MAXIFS('13_검토이력'!$P$6:$P$305,'13_검토이력'!$B$6:$B$305,B108,'13_검토이력'!$P$6:$P$305,"&lt;"&amp;P108,'13_검토이력'!$O$6:$O$305,1))</x:f>
        <x:v>0</x:v>
      </x:c>
      <x:c r="S108" s="36" t="n">
        <x:f>IF(A108="",0,IF(OR(H108=TRUE,H108="TRUE",H108="true"),1,0))</x:f>
        <x:v>0</x:v>
      </x:c>
    </x:row>
    <x:row r="109" ht="20" customHeight="1">
      <x:c r="A109" s="22"/>
      <x:c r="B109" s="22"/>
      <x:c r="C109" s="22"/>
      <x:c r="D109" s="28"/>
      <x:c r="E109" s="28"/>
      <x:c r="F109" s="22"/>
      <x:c r="G109" s="22"/>
      <x:c r="H109" s="22"/>
      <x:c r="I109" s="26"/>
      <x:c r="J109" s="22"/>
      <x:c r="K109" s="26"/>
      <x:c r="L109" s="26"/>
      <x:c r="M109" s="28"/>
      <x:c r="N109" s="36" t="n">
        <x:f>IF(A109="",0,IFERROR(MATCH(F109,'17_코드북'!$A$6:$A$14,0)-1,9))</x:f>
        <x:v>0</x:v>
      </x:c>
      <x:c r="O109" s="36" t="n">
        <x:f>IF(A109="",0,IF(AND(D109&lt;='01_설정'!$B$6,E109&lt;='01_설정'!$B$7),1,0))</x:f>
        <x:v>0</x:v>
      </x:c>
      <x:c r="P109" s="36" t="n">
        <x:f>IF(A109="",0,D109*100000+C109)</x:f>
        <x:v>0</x:v>
      </x:c>
      <x:c r="Q109" s="36" t="n">
        <x:f>IF(O109=0,0,IF(OR(R109=0,N109&lt;&gt;SUMIFS('13_검토이력'!$N$6:$N$305,'13_검토이력'!$P$6:$P$305,R109)),1,0))</x:f>
        <x:v>0</x:v>
      </x:c>
      <x:c r="R109" s="36" t="n">
        <x:f>IF(O109=0,0,_xlfn.MAXIFS('13_검토이력'!$P$6:$P$305,'13_검토이력'!$B$6:$B$305,B109,'13_검토이력'!$P$6:$P$305,"&lt;"&amp;P109,'13_검토이력'!$O$6:$O$305,1))</x:f>
        <x:v>0</x:v>
      </x:c>
      <x:c r="S109" s="36" t="n">
        <x:f>IF(A109="",0,IF(OR(H109=TRUE,H109="TRUE",H109="true"),1,0))</x:f>
        <x:v>0</x:v>
      </x:c>
    </x:row>
    <x:row r="110" ht="20" customHeight="1">
      <x:c r="A110" s="22"/>
      <x:c r="B110" s="22"/>
      <x:c r="C110" s="22"/>
      <x:c r="D110" s="28"/>
      <x:c r="E110" s="28"/>
      <x:c r="F110" s="22"/>
      <x:c r="G110" s="22"/>
      <x:c r="H110" s="22"/>
      <x:c r="I110" s="26"/>
      <x:c r="J110" s="22"/>
      <x:c r="K110" s="26"/>
      <x:c r="L110" s="26"/>
      <x:c r="M110" s="28"/>
      <x:c r="N110" s="36" t="n">
        <x:f>IF(A110="",0,IFERROR(MATCH(F110,'17_코드북'!$A$6:$A$14,0)-1,9))</x:f>
        <x:v>0</x:v>
      </x:c>
      <x:c r="O110" s="36" t="n">
        <x:f>IF(A110="",0,IF(AND(D110&lt;='01_설정'!$B$6,E110&lt;='01_설정'!$B$7),1,0))</x:f>
        <x:v>0</x:v>
      </x:c>
      <x:c r="P110" s="36" t="n">
        <x:f>IF(A110="",0,D110*100000+C110)</x:f>
        <x:v>0</x:v>
      </x:c>
      <x:c r="Q110" s="36" t="n">
        <x:f>IF(O110=0,0,IF(OR(R110=0,N110&lt;&gt;SUMIFS('13_검토이력'!$N$6:$N$305,'13_검토이력'!$P$6:$P$305,R110)),1,0))</x:f>
        <x:v>0</x:v>
      </x:c>
      <x:c r="R110" s="36" t="n">
        <x:f>IF(O110=0,0,_xlfn.MAXIFS('13_검토이력'!$P$6:$P$305,'13_검토이력'!$B$6:$B$305,B110,'13_검토이력'!$P$6:$P$305,"&lt;"&amp;P110,'13_검토이력'!$O$6:$O$305,1))</x:f>
        <x:v>0</x:v>
      </x:c>
      <x:c r="S110" s="36" t="n">
        <x:f>IF(A110="",0,IF(OR(H110=TRUE,H110="TRUE",H110="true"),1,0))</x:f>
        <x:v>0</x:v>
      </x:c>
    </x:row>
    <x:row r="111" ht="20" customHeight="1">
      <x:c r="A111" s="22"/>
      <x:c r="B111" s="22"/>
      <x:c r="C111" s="22"/>
      <x:c r="D111" s="28"/>
      <x:c r="E111" s="28"/>
      <x:c r="F111" s="22"/>
      <x:c r="G111" s="22"/>
      <x:c r="H111" s="22"/>
      <x:c r="I111" s="26"/>
      <x:c r="J111" s="22"/>
      <x:c r="K111" s="26"/>
      <x:c r="L111" s="26"/>
      <x:c r="M111" s="28"/>
      <x:c r="N111" s="36" t="n">
        <x:f>IF(A111="",0,IFERROR(MATCH(F111,'17_코드북'!$A$6:$A$14,0)-1,9))</x:f>
        <x:v>0</x:v>
      </x:c>
      <x:c r="O111" s="36" t="n">
        <x:f>IF(A111="",0,IF(AND(D111&lt;='01_설정'!$B$6,E111&lt;='01_설정'!$B$7),1,0))</x:f>
        <x:v>0</x:v>
      </x:c>
      <x:c r="P111" s="36" t="n">
        <x:f>IF(A111="",0,D111*100000+C111)</x:f>
        <x:v>0</x:v>
      </x:c>
      <x:c r="Q111" s="36" t="n">
        <x:f>IF(O111=0,0,IF(OR(R111=0,N111&lt;&gt;SUMIFS('13_검토이력'!$N$6:$N$305,'13_검토이력'!$P$6:$P$305,R111)),1,0))</x:f>
        <x:v>0</x:v>
      </x:c>
      <x:c r="R111" s="36" t="n">
        <x:f>IF(O111=0,0,_xlfn.MAXIFS('13_검토이력'!$P$6:$P$305,'13_검토이력'!$B$6:$B$305,B111,'13_검토이력'!$P$6:$P$305,"&lt;"&amp;P111,'13_검토이력'!$O$6:$O$305,1))</x:f>
        <x:v>0</x:v>
      </x:c>
      <x:c r="S111" s="36" t="n">
        <x:f>IF(A111="",0,IF(OR(H111=TRUE,H111="TRUE",H111="true"),1,0))</x:f>
        <x:v>0</x:v>
      </x:c>
    </x:row>
    <x:row r="112" ht="20" customHeight="1">
      <x:c r="A112" s="22"/>
      <x:c r="B112" s="22"/>
      <x:c r="C112" s="22"/>
      <x:c r="D112" s="28"/>
      <x:c r="E112" s="28"/>
      <x:c r="F112" s="22"/>
      <x:c r="G112" s="22"/>
      <x:c r="H112" s="22"/>
      <x:c r="I112" s="26"/>
      <x:c r="J112" s="22"/>
      <x:c r="K112" s="26"/>
      <x:c r="L112" s="26"/>
      <x:c r="M112" s="28"/>
      <x:c r="N112" s="36" t="n">
        <x:f>IF(A112="",0,IFERROR(MATCH(F112,'17_코드북'!$A$6:$A$14,0)-1,9))</x:f>
        <x:v>0</x:v>
      </x:c>
      <x:c r="O112" s="36" t="n">
        <x:f>IF(A112="",0,IF(AND(D112&lt;='01_설정'!$B$6,E112&lt;='01_설정'!$B$7),1,0))</x:f>
        <x:v>0</x:v>
      </x:c>
      <x:c r="P112" s="36" t="n">
        <x:f>IF(A112="",0,D112*100000+C112)</x:f>
        <x:v>0</x:v>
      </x:c>
      <x:c r="Q112" s="36" t="n">
        <x:f>IF(O112=0,0,IF(OR(R112=0,N112&lt;&gt;SUMIFS('13_검토이력'!$N$6:$N$305,'13_검토이력'!$P$6:$P$305,R112)),1,0))</x:f>
        <x:v>0</x:v>
      </x:c>
      <x:c r="R112" s="36" t="n">
        <x:f>IF(O112=0,0,_xlfn.MAXIFS('13_검토이력'!$P$6:$P$305,'13_검토이력'!$B$6:$B$305,B112,'13_검토이력'!$P$6:$P$305,"&lt;"&amp;P112,'13_검토이력'!$O$6:$O$305,1))</x:f>
        <x:v>0</x:v>
      </x:c>
      <x:c r="S112" s="36" t="n">
        <x:f>IF(A112="",0,IF(OR(H112=TRUE,H112="TRUE",H112="true"),1,0))</x:f>
        <x:v>0</x:v>
      </x:c>
    </x:row>
    <x:row r="113" ht="20" customHeight="1">
      <x:c r="A113" s="22"/>
      <x:c r="B113" s="22"/>
      <x:c r="C113" s="22"/>
      <x:c r="D113" s="28"/>
      <x:c r="E113" s="28"/>
      <x:c r="F113" s="22"/>
      <x:c r="G113" s="22"/>
      <x:c r="H113" s="22"/>
      <x:c r="I113" s="26"/>
      <x:c r="J113" s="22"/>
      <x:c r="K113" s="26"/>
      <x:c r="L113" s="26"/>
      <x:c r="M113" s="28"/>
      <x:c r="N113" s="36" t="n">
        <x:f>IF(A113="",0,IFERROR(MATCH(F113,'17_코드북'!$A$6:$A$14,0)-1,9))</x:f>
        <x:v>0</x:v>
      </x:c>
      <x:c r="O113" s="36" t="n">
        <x:f>IF(A113="",0,IF(AND(D113&lt;='01_설정'!$B$6,E113&lt;='01_설정'!$B$7),1,0))</x:f>
        <x:v>0</x:v>
      </x:c>
      <x:c r="P113" s="36" t="n">
        <x:f>IF(A113="",0,D113*100000+C113)</x:f>
        <x:v>0</x:v>
      </x:c>
      <x:c r="Q113" s="36" t="n">
        <x:f>IF(O113=0,0,IF(OR(R113=0,N113&lt;&gt;SUMIFS('13_검토이력'!$N$6:$N$305,'13_검토이력'!$P$6:$P$305,R113)),1,0))</x:f>
        <x:v>0</x:v>
      </x:c>
      <x:c r="R113" s="36" t="n">
        <x:f>IF(O113=0,0,_xlfn.MAXIFS('13_검토이력'!$P$6:$P$305,'13_검토이력'!$B$6:$B$305,B113,'13_검토이력'!$P$6:$P$305,"&lt;"&amp;P113,'13_검토이력'!$O$6:$O$305,1))</x:f>
        <x:v>0</x:v>
      </x:c>
      <x:c r="S113" s="36" t="n">
        <x:f>IF(A113="",0,IF(OR(H113=TRUE,H113="TRUE",H113="true"),1,0))</x:f>
        <x:v>0</x:v>
      </x:c>
    </x:row>
    <x:row r="114" ht="20" customHeight="1">
      <x:c r="A114" s="22"/>
      <x:c r="B114" s="22"/>
      <x:c r="C114" s="22"/>
      <x:c r="D114" s="28"/>
      <x:c r="E114" s="28"/>
      <x:c r="F114" s="22"/>
      <x:c r="G114" s="22"/>
      <x:c r="H114" s="22"/>
      <x:c r="I114" s="26"/>
      <x:c r="J114" s="22"/>
      <x:c r="K114" s="26"/>
      <x:c r="L114" s="26"/>
      <x:c r="M114" s="28"/>
      <x:c r="N114" s="36" t="n">
        <x:f>IF(A114="",0,IFERROR(MATCH(F114,'17_코드북'!$A$6:$A$14,0)-1,9))</x:f>
        <x:v>0</x:v>
      </x:c>
      <x:c r="O114" s="36" t="n">
        <x:f>IF(A114="",0,IF(AND(D114&lt;='01_설정'!$B$6,E114&lt;='01_설정'!$B$7),1,0))</x:f>
        <x:v>0</x:v>
      </x:c>
      <x:c r="P114" s="36" t="n">
        <x:f>IF(A114="",0,D114*100000+C114)</x:f>
        <x:v>0</x:v>
      </x:c>
      <x:c r="Q114" s="36" t="n">
        <x:f>IF(O114=0,0,IF(OR(R114=0,N114&lt;&gt;SUMIFS('13_검토이력'!$N$6:$N$305,'13_검토이력'!$P$6:$P$305,R114)),1,0))</x:f>
        <x:v>0</x:v>
      </x:c>
      <x:c r="R114" s="36" t="n">
        <x:f>IF(O114=0,0,_xlfn.MAXIFS('13_검토이력'!$P$6:$P$305,'13_검토이력'!$B$6:$B$305,B114,'13_검토이력'!$P$6:$P$305,"&lt;"&amp;P114,'13_검토이력'!$O$6:$O$305,1))</x:f>
        <x:v>0</x:v>
      </x:c>
      <x:c r="S114" s="36" t="n">
        <x:f>IF(A114="",0,IF(OR(H114=TRUE,H114="TRUE",H114="true"),1,0))</x:f>
        <x:v>0</x:v>
      </x:c>
    </x:row>
    <x:row r="115" ht="20" customHeight="1">
      <x:c r="A115" s="22"/>
      <x:c r="B115" s="22"/>
      <x:c r="C115" s="22"/>
      <x:c r="D115" s="28"/>
      <x:c r="E115" s="28"/>
      <x:c r="F115" s="22"/>
      <x:c r="G115" s="22"/>
      <x:c r="H115" s="22"/>
      <x:c r="I115" s="26"/>
      <x:c r="J115" s="22"/>
      <x:c r="K115" s="26"/>
      <x:c r="L115" s="26"/>
      <x:c r="M115" s="28"/>
      <x:c r="N115" s="36" t="n">
        <x:f>IF(A115="",0,IFERROR(MATCH(F115,'17_코드북'!$A$6:$A$14,0)-1,9))</x:f>
        <x:v>0</x:v>
      </x:c>
      <x:c r="O115" s="36" t="n">
        <x:f>IF(A115="",0,IF(AND(D115&lt;='01_설정'!$B$6,E115&lt;='01_설정'!$B$7),1,0))</x:f>
        <x:v>0</x:v>
      </x:c>
      <x:c r="P115" s="36" t="n">
        <x:f>IF(A115="",0,D115*100000+C115)</x:f>
        <x:v>0</x:v>
      </x:c>
      <x:c r="Q115" s="36" t="n">
        <x:f>IF(O115=0,0,IF(OR(R115=0,N115&lt;&gt;SUMIFS('13_검토이력'!$N$6:$N$305,'13_검토이력'!$P$6:$P$305,R115)),1,0))</x:f>
        <x:v>0</x:v>
      </x:c>
      <x:c r="R115" s="36" t="n">
        <x:f>IF(O115=0,0,_xlfn.MAXIFS('13_검토이력'!$P$6:$P$305,'13_검토이력'!$B$6:$B$305,B115,'13_검토이력'!$P$6:$P$305,"&lt;"&amp;P115,'13_검토이력'!$O$6:$O$305,1))</x:f>
        <x:v>0</x:v>
      </x:c>
      <x:c r="S115" s="36" t="n">
        <x:f>IF(A115="",0,IF(OR(H115=TRUE,H115="TRUE",H115="true"),1,0))</x:f>
        <x:v>0</x:v>
      </x:c>
    </x:row>
    <x:row r="116" ht="20" customHeight="1">
      <x:c r="A116" s="22"/>
      <x:c r="B116" s="22"/>
      <x:c r="C116" s="22"/>
      <x:c r="D116" s="28"/>
      <x:c r="E116" s="28"/>
      <x:c r="F116" s="22"/>
      <x:c r="G116" s="22"/>
      <x:c r="H116" s="22"/>
      <x:c r="I116" s="26"/>
      <x:c r="J116" s="22"/>
      <x:c r="K116" s="26"/>
      <x:c r="L116" s="26"/>
      <x:c r="M116" s="28"/>
      <x:c r="N116" s="36" t="n">
        <x:f>IF(A116="",0,IFERROR(MATCH(F116,'17_코드북'!$A$6:$A$14,0)-1,9))</x:f>
        <x:v>0</x:v>
      </x:c>
      <x:c r="O116" s="36" t="n">
        <x:f>IF(A116="",0,IF(AND(D116&lt;='01_설정'!$B$6,E116&lt;='01_설정'!$B$7),1,0))</x:f>
        <x:v>0</x:v>
      </x:c>
      <x:c r="P116" s="36" t="n">
        <x:f>IF(A116="",0,D116*100000+C116)</x:f>
        <x:v>0</x:v>
      </x:c>
      <x:c r="Q116" s="36" t="n">
        <x:f>IF(O116=0,0,IF(OR(R116=0,N116&lt;&gt;SUMIFS('13_검토이력'!$N$6:$N$305,'13_검토이력'!$P$6:$P$305,R116)),1,0))</x:f>
        <x:v>0</x:v>
      </x:c>
      <x:c r="R116" s="36" t="n">
        <x:f>IF(O116=0,0,_xlfn.MAXIFS('13_검토이력'!$P$6:$P$305,'13_검토이력'!$B$6:$B$305,B116,'13_검토이력'!$P$6:$P$305,"&lt;"&amp;P116,'13_검토이력'!$O$6:$O$305,1))</x:f>
        <x:v>0</x:v>
      </x:c>
      <x:c r="S116" s="36" t="n">
        <x:f>IF(A116="",0,IF(OR(H116=TRUE,H116="TRUE",H116="true"),1,0))</x:f>
        <x:v>0</x:v>
      </x:c>
    </x:row>
    <x:row r="117" ht="20" customHeight="1">
      <x:c r="A117" s="22"/>
      <x:c r="B117" s="22"/>
      <x:c r="C117" s="22"/>
      <x:c r="D117" s="28"/>
      <x:c r="E117" s="28"/>
      <x:c r="F117" s="22"/>
      <x:c r="G117" s="22"/>
      <x:c r="H117" s="22"/>
      <x:c r="I117" s="26"/>
      <x:c r="J117" s="22"/>
      <x:c r="K117" s="26"/>
      <x:c r="L117" s="26"/>
      <x:c r="M117" s="28"/>
      <x:c r="N117" s="36" t="n">
        <x:f>IF(A117="",0,IFERROR(MATCH(F117,'17_코드북'!$A$6:$A$14,0)-1,9))</x:f>
        <x:v>0</x:v>
      </x:c>
      <x:c r="O117" s="36" t="n">
        <x:f>IF(A117="",0,IF(AND(D117&lt;='01_설정'!$B$6,E117&lt;='01_설정'!$B$7),1,0))</x:f>
        <x:v>0</x:v>
      </x:c>
      <x:c r="P117" s="36" t="n">
        <x:f>IF(A117="",0,D117*100000+C117)</x:f>
        <x:v>0</x:v>
      </x:c>
      <x:c r="Q117" s="36" t="n">
        <x:f>IF(O117=0,0,IF(OR(R117=0,N117&lt;&gt;SUMIFS('13_검토이력'!$N$6:$N$305,'13_검토이력'!$P$6:$P$305,R117)),1,0))</x:f>
        <x:v>0</x:v>
      </x:c>
      <x:c r="R117" s="36" t="n">
        <x:f>IF(O117=0,0,_xlfn.MAXIFS('13_검토이력'!$P$6:$P$305,'13_검토이력'!$B$6:$B$305,B117,'13_검토이력'!$P$6:$P$305,"&lt;"&amp;P117,'13_검토이력'!$O$6:$O$305,1))</x:f>
        <x:v>0</x:v>
      </x:c>
      <x:c r="S117" s="36" t="n">
        <x:f>IF(A117="",0,IF(OR(H117=TRUE,H117="TRUE",H117="true"),1,0))</x:f>
        <x:v>0</x:v>
      </x:c>
    </x:row>
    <x:row r="118" ht="20" customHeight="1">
      <x:c r="A118" s="22"/>
      <x:c r="B118" s="22"/>
      <x:c r="C118" s="22"/>
      <x:c r="D118" s="28"/>
      <x:c r="E118" s="28"/>
      <x:c r="F118" s="22"/>
      <x:c r="G118" s="22"/>
      <x:c r="H118" s="22"/>
      <x:c r="I118" s="26"/>
      <x:c r="J118" s="22"/>
      <x:c r="K118" s="26"/>
      <x:c r="L118" s="26"/>
      <x:c r="M118" s="28"/>
      <x:c r="N118" s="36" t="n">
        <x:f>IF(A118="",0,IFERROR(MATCH(F118,'17_코드북'!$A$6:$A$14,0)-1,9))</x:f>
        <x:v>0</x:v>
      </x:c>
      <x:c r="O118" s="36" t="n">
        <x:f>IF(A118="",0,IF(AND(D118&lt;='01_설정'!$B$6,E118&lt;='01_설정'!$B$7),1,0))</x:f>
        <x:v>0</x:v>
      </x:c>
      <x:c r="P118" s="36" t="n">
        <x:f>IF(A118="",0,D118*100000+C118)</x:f>
        <x:v>0</x:v>
      </x:c>
      <x:c r="Q118" s="36" t="n">
        <x:f>IF(O118=0,0,IF(OR(R118=0,N118&lt;&gt;SUMIFS('13_검토이력'!$N$6:$N$305,'13_검토이력'!$P$6:$P$305,R118)),1,0))</x:f>
        <x:v>0</x:v>
      </x:c>
      <x:c r="R118" s="36" t="n">
        <x:f>IF(O118=0,0,_xlfn.MAXIFS('13_검토이력'!$P$6:$P$305,'13_검토이력'!$B$6:$B$305,B118,'13_검토이력'!$P$6:$P$305,"&lt;"&amp;P118,'13_검토이력'!$O$6:$O$305,1))</x:f>
        <x:v>0</x:v>
      </x:c>
      <x:c r="S118" s="36" t="n">
        <x:f>IF(A118="",0,IF(OR(H118=TRUE,H118="TRUE",H118="true"),1,0))</x:f>
        <x:v>0</x:v>
      </x:c>
    </x:row>
    <x:row r="119" ht="20" customHeight="1">
      <x:c r="A119" s="22"/>
      <x:c r="B119" s="22"/>
      <x:c r="C119" s="22"/>
      <x:c r="D119" s="28"/>
      <x:c r="E119" s="28"/>
      <x:c r="F119" s="22"/>
      <x:c r="G119" s="22"/>
      <x:c r="H119" s="22"/>
      <x:c r="I119" s="26"/>
      <x:c r="J119" s="22"/>
      <x:c r="K119" s="26"/>
      <x:c r="L119" s="26"/>
      <x:c r="M119" s="28"/>
      <x:c r="N119" s="36" t="n">
        <x:f>IF(A119="",0,IFERROR(MATCH(F119,'17_코드북'!$A$6:$A$14,0)-1,9))</x:f>
        <x:v>0</x:v>
      </x:c>
      <x:c r="O119" s="36" t="n">
        <x:f>IF(A119="",0,IF(AND(D119&lt;='01_설정'!$B$6,E119&lt;='01_설정'!$B$7),1,0))</x:f>
        <x:v>0</x:v>
      </x:c>
      <x:c r="P119" s="36" t="n">
        <x:f>IF(A119="",0,D119*100000+C119)</x:f>
        <x:v>0</x:v>
      </x:c>
      <x:c r="Q119" s="36" t="n">
        <x:f>IF(O119=0,0,IF(OR(R119=0,N119&lt;&gt;SUMIFS('13_검토이력'!$N$6:$N$305,'13_검토이력'!$P$6:$P$305,R119)),1,0))</x:f>
        <x:v>0</x:v>
      </x:c>
      <x:c r="R119" s="36" t="n">
        <x:f>IF(O119=0,0,_xlfn.MAXIFS('13_검토이력'!$P$6:$P$305,'13_검토이력'!$B$6:$B$305,B119,'13_검토이력'!$P$6:$P$305,"&lt;"&amp;P119,'13_검토이력'!$O$6:$O$305,1))</x:f>
        <x:v>0</x:v>
      </x:c>
      <x:c r="S119" s="36" t="n">
        <x:f>IF(A119="",0,IF(OR(H119=TRUE,H119="TRUE",H119="true"),1,0))</x:f>
        <x:v>0</x:v>
      </x:c>
    </x:row>
    <x:row r="120" ht="20" customHeight="1">
      <x:c r="A120" s="22"/>
      <x:c r="B120" s="22"/>
      <x:c r="C120" s="22"/>
      <x:c r="D120" s="28"/>
      <x:c r="E120" s="28"/>
      <x:c r="F120" s="22"/>
      <x:c r="G120" s="22"/>
      <x:c r="H120" s="22"/>
      <x:c r="I120" s="26"/>
      <x:c r="J120" s="22"/>
      <x:c r="K120" s="26"/>
      <x:c r="L120" s="26"/>
      <x:c r="M120" s="28"/>
      <x:c r="N120" s="36" t="n">
        <x:f>IF(A120="",0,IFERROR(MATCH(F120,'17_코드북'!$A$6:$A$14,0)-1,9))</x:f>
        <x:v>0</x:v>
      </x:c>
      <x:c r="O120" s="36" t="n">
        <x:f>IF(A120="",0,IF(AND(D120&lt;='01_설정'!$B$6,E120&lt;='01_설정'!$B$7),1,0))</x:f>
        <x:v>0</x:v>
      </x:c>
      <x:c r="P120" s="36" t="n">
        <x:f>IF(A120="",0,D120*100000+C120)</x:f>
        <x:v>0</x:v>
      </x:c>
      <x:c r="Q120" s="36" t="n">
        <x:f>IF(O120=0,0,IF(OR(R120=0,N120&lt;&gt;SUMIFS('13_검토이력'!$N$6:$N$305,'13_검토이력'!$P$6:$P$305,R120)),1,0))</x:f>
        <x:v>0</x:v>
      </x:c>
      <x:c r="R120" s="36" t="n">
        <x:f>IF(O120=0,0,_xlfn.MAXIFS('13_검토이력'!$P$6:$P$305,'13_검토이력'!$B$6:$B$305,B120,'13_검토이력'!$P$6:$P$305,"&lt;"&amp;P120,'13_검토이력'!$O$6:$O$305,1))</x:f>
        <x:v>0</x:v>
      </x:c>
      <x:c r="S120" s="36" t="n">
        <x:f>IF(A120="",0,IF(OR(H120=TRUE,H120="TRUE",H120="true"),1,0))</x:f>
        <x:v>0</x:v>
      </x:c>
    </x:row>
    <x:row r="121" ht="20" customHeight="1">
      <x:c r="A121" s="22"/>
      <x:c r="B121" s="22"/>
      <x:c r="C121" s="22"/>
      <x:c r="D121" s="28"/>
      <x:c r="E121" s="28"/>
      <x:c r="F121" s="22"/>
      <x:c r="G121" s="22"/>
      <x:c r="H121" s="22"/>
      <x:c r="I121" s="26"/>
      <x:c r="J121" s="22"/>
      <x:c r="K121" s="26"/>
      <x:c r="L121" s="26"/>
      <x:c r="M121" s="28"/>
      <x:c r="N121" s="36" t="n">
        <x:f>IF(A121="",0,IFERROR(MATCH(F121,'17_코드북'!$A$6:$A$14,0)-1,9))</x:f>
        <x:v>0</x:v>
      </x:c>
      <x:c r="O121" s="36" t="n">
        <x:f>IF(A121="",0,IF(AND(D121&lt;='01_설정'!$B$6,E121&lt;='01_설정'!$B$7),1,0))</x:f>
        <x:v>0</x:v>
      </x:c>
      <x:c r="P121" s="36" t="n">
        <x:f>IF(A121="",0,D121*100000+C121)</x:f>
        <x:v>0</x:v>
      </x:c>
      <x:c r="Q121" s="36" t="n">
        <x:f>IF(O121=0,0,IF(OR(R121=0,N121&lt;&gt;SUMIFS('13_검토이력'!$N$6:$N$305,'13_검토이력'!$P$6:$P$305,R121)),1,0))</x:f>
        <x:v>0</x:v>
      </x:c>
      <x:c r="R121" s="36" t="n">
        <x:f>IF(O121=0,0,_xlfn.MAXIFS('13_검토이력'!$P$6:$P$305,'13_검토이력'!$B$6:$B$305,B121,'13_검토이력'!$P$6:$P$305,"&lt;"&amp;P121,'13_검토이력'!$O$6:$O$305,1))</x:f>
        <x:v>0</x:v>
      </x:c>
      <x:c r="S121" s="36" t="n">
        <x:f>IF(A121="",0,IF(OR(H121=TRUE,H121="TRUE",H121="true"),1,0))</x:f>
        <x:v>0</x:v>
      </x:c>
    </x:row>
    <x:row r="122" ht="20" customHeight="1">
      <x:c r="A122" s="22"/>
      <x:c r="B122" s="22"/>
      <x:c r="C122" s="22"/>
      <x:c r="D122" s="28"/>
      <x:c r="E122" s="28"/>
      <x:c r="F122" s="22"/>
      <x:c r="G122" s="22"/>
      <x:c r="H122" s="22"/>
      <x:c r="I122" s="26"/>
      <x:c r="J122" s="22"/>
      <x:c r="K122" s="26"/>
      <x:c r="L122" s="26"/>
      <x:c r="M122" s="28"/>
      <x:c r="N122" s="36" t="n">
        <x:f>IF(A122="",0,IFERROR(MATCH(F122,'17_코드북'!$A$6:$A$14,0)-1,9))</x:f>
        <x:v>0</x:v>
      </x:c>
      <x:c r="O122" s="36" t="n">
        <x:f>IF(A122="",0,IF(AND(D122&lt;='01_설정'!$B$6,E122&lt;='01_설정'!$B$7),1,0))</x:f>
        <x:v>0</x:v>
      </x:c>
      <x:c r="P122" s="36" t="n">
        <x:f>IF(A122="",0,D122*100000+C122)</x:f>
        <x:v>0</x:v>
      </x:c>
      <x:c r="Q122" s="36" t="n">
        <x:f>IF(O122=0,0,IF(OR(R122=0,N122&lt;&gt;SUMIFS('13_검토이력'!$N$6:$N$305,'13_검토이력'!$P$6:$P$305,R122)),1,0))</x:f>
        <x:v>0</x:v>
      </x:c>
      <x:c r="R122" s="36" t="n">
        <x:f>IF(O122=0,0,_xlfn.MAXIFS('13_검토이력'!$P$6:$P$305,'13_검토이력'!$B$6:$B$305,B122,'13_검토이력'!$P$6:$P$305,"&lt;"&amp;P122,'13_검토이력'!$O$6:$O$305,1))</x:f>
        <x:v>0</x:v>
      </x:c>
      <x:c r="S122" s="36" t="n">
        <x:f>IF(A122="",0,IF(OR(H122=TRUE,H122="TRUE",H122="true"),1,0))</x:f>
        <x:v>0</x:v>
      </x:c>
    </x:row>
    <x:row r="123" ht="20" customHeight="1">
      <x:c r="A123" s="22"/>
      <x:c r="B123" s="22"/>
      <x:c r="C123" s="22"/>
      <x:c r="D123" s="28"/>
      <x:c r="E123" s="28"/>
      <x:c r="F123" s="22"/>
      <x:c r="G123" s="22"/>
      <x:c r="H123" s="22"/>
      <x:c r="I123" s="26"/>
      <x:c r="J123" s="22"/>
      <x:c r="K123" s="26"/>
      <x:c r="L123" s="26"/>
      <x:c r="M123" s="28"/>
      <x:c r="N123" s="36" t="n">
        <x:f>IF(A123="",0,IFERROR(MATCH(F123,'17_코드북'!$A$6:$A$14,0)-1,9))</x:f>
        <x:v>0</x:v>
      </x:c>
      <x:c r="O123" s="36" t="n">
        <x:f>IF(A123="",0,IF(AND(D123&lt;='01_설정'!$B$6,E123&lt;='01_설정'!$B$7),1,0))</x:f>
        <x:v>0</x:v>
      </x:c>
      <x:c r="P123" s="36" t="n">
        <x:f>IF(A123="",0,D123*100000+C123)</x:f>
        <x:v>0</x:v>
      </x:c>
      <x:c r="Q123" s="36" t="n">
        <x:f>IF(O123=0,0,IF(OR(R123=0,N123&lt;&gt;SUMIFS('13_검토이력'!$N$6:$N$305,'13_검토이력'!$P$6:$P$305,R123)),1,0))</x:f>
        <x:v>0</x:v>
      </x:c>
      <x:c r="R123" s="36" t="n">
        <x:f>IF(O123=0,0,_xlfn.MAXIFS('13_검토이력'!$P$6:$P$305,'13_검토이력'!$B$6:$B$305,B123,'13_검토이력'!$P$6:$P$305,"&lt;"&amp;P123,'13_검토이력'!$O$6:$O$305,1))</x:f>
        <x:v>0</x:v>
      </x:c>
      <x:c r="S123" s="36" t="n">
        <x:f>IF(A123="",0,IF(OR(H123=TRUE,H123="TRUE",H123="true"),1,0))</x:f>
        <x:v>0</x:v>
      </x:c>
    </x:row>
    <x:row r="124" ht="20" customHeight="1">
      <x:c r="A124" s="22"/>
      <x:c r="B124" s="22"/>
      <x:c r="C124" s="22"/>
      <x:c r="D124" s="28"/>
      <x:c r="E124" s="28"/>
      <x:c r="F124" s="22"/>
      <x:c r="G124" s="22"/>
      <x:c r="H124" s="22"/>
      <x:c r="I124" s="26"/>
      <x:c r="J124" s="22"/>
      <x:c r="K124" s="26"/>
      <x:c r="L124" s="26"/>
      <x:c r="M124" s="28"/>
      <x:c r="N124" s="36" t="n">
        <x:f>IF(A124="",0,IFERROR(MATCH(F124,'17_코드북'!$A$6:$A$14,0)-1,9))</x:f>
        <x:v>0</x:v>
      </x:c>
      <x:c r="O124" s="36" t="n">
        <x:f>IF(A124="",0,IF(AND(D124&lt;='01_설정'!$B$6,E124&lt;='01_설정'!$B$7),1,0))</x:f>
        <x:v>0</x:v>
      </x:c>
      <x:c r="P124" s="36" t="n">
        <x:f>IF(A124="",0,D124*100000+C124)</x:f>
        <x:v>0</x:v>
      </x:c>
      <x:c r="Q124" s="36" t="n">
        <x:f>IF(O124=0,0,IF(OR(R124=0,N124&lt;&gt;SUMIFS('13_검토이력'!$N$6:$N$305,'13_검토이력'!$P$6:$P$305,R124)),1,0))</x:f>
        <x:v>0</x:v>
      </x:c>
      <x:c r="R124" s="36" t="n">
        <x:f>IF(O124=0,0,_xlfn.MAXIFS('13_검토이력'!$P$6:$P$305,'13_검토이력'!$B$6:$B$305,B124,'13_검토이력'!$P$6:$P$305,"&lt;"&amp;P124,'13_검토이력'!$O$6:$O$305,1))</x:f>
        <x:v>0</x:v>
      </x:c>
      <x:c r="S124" s="36" t="n">
        <x:f>IF(A124="",0,IF(OR(H124=TRUE,H124="TRUE",H124="true"),1,0))</x:f>
        <x:v>0</x:v>
      </x:c>
    </x:row>
    <x:row r="125" ht="20" customHeight="1">
      <x:c r="A125" s="22"/>
      <x:c r="B125" s="22"/>
      <x:c r="C125" s="22"/>
      <x:c r="D125" s="28"/>
      <x:c r="E125" s="28"/>
      <x:c r="F125" s="22"/>
      <x:c r="G125" s="22"/>
      <x:c r="H125" s="22"/>
      <x:c r="I125" s="26"/>
      <x:c r="J125" s="22"/>
      <x:c r="K125" s="26"/>
      <x:c r="L125" s="26"/>
      <x:c r="M125" s="28"/>
      <x:c r="N125" s="36" t="n">
        <x:f>IF(A125="",0,IFERROR(MATCH(F125,'17_코드북'!$A$6:$A$14,0)-1,9))</x:f>
        <x:v>0</x:v>
      </x:c>
      <x:c r="O125" s="36" t="n">
        <x:f>IF(A125="",0,IF(AND(D125&lt;='01_설정'!$B$6,E125&lt;='01_설정'!$B$7),1,0))</x:f>
        <x:v>0</x:v>
      </x:c>
      <x:c r="P125" s="36" t="n">
        <x:f>IF(A125="",0,D125*100000+C125)</x:f>
        <x:v>0</x:v>
      </x:c>
      <x:c r="Q125" s="36" t="n">
        <x:f>IF(O125=0,0,IF(OR(R125=0,N125&lt;&gt;SUMIFS('13_검토이력'!$N$6:$N$305,'13_검토이력'!$P$6:$P$305,R125)),1,0))</x:f>
        <x:v>0</x:v>
      </x:c>
      <x:c r="R125" s="36" t="n">
        <x:f>IF(O125=0,0,_xlfn.MAXIFS('13_검토이력'!$P$6:$P$305,'13_검토이력'!$B$6:$B$305,B125,'13_검토이력'!$P$6:$P$305,"&lt;"&amp;P125,'13_검토이력'!$O$6:$O$305,1))</x:f>
        <x:v>0</x:v>
      </x:c>
      <x:c r="S125" s="36" t="n">
        <x:f>IF(A125="",0,IF(OR(H125=TRUE,H125="TRUE",H125="true"),1,0))</x:f>
        <x:v>0</x:v>
      </x:c>
    </x:row>
    <x:row r="126" ht="20" customHeight="1">
      <x:c r="A126" s="22"/>
      <x:c r="B126" s="22"/>
      <x:c r="C126" s="22"/>
      <x:c r="D126" s="28"/>
      <x:c r="E126" s="28"/>
      <x:c r="F126" s="22"/>
      <x:c r="G126" s="22"/>
      <x:c r="H126" s="22"/>
      <x:c r="I126" s="26"/>
      <x:c r="J126" s="22"/>
      <x:c r="K126" s="26"/>
      <x:c r="L126" s="26"/>
      <x:c r="M126" s="28"/>
      <x:c r="N126" s="36" t="n">
        <x:f>IF(A126="",0,IFERROR(MATCH(F126,'17_코드북'!$A$6:$A$14,0)-1,9))</x:f>
        <x:v>0</x:v>
      </x:c>
      <x:c r="O126" s="36" t="n">
        <x:f>IF(A126="",0,IF(AND(D126&lt;='01_설정'!$B$6,E126&lt;='01_설정'!$B$7),1,0))</x:f>
        <x:v>0</x:v>
      </x:c>
      <x:c r="P126" s="36" t="n">
        <x:f>IF(A126="",0,D126*100000+C126)</x:f>
        <x:v>0</x:v>
      </x:c>
      <x:c r="Q126" s="36" t="n">
        <x:f>IF(O126=0,0,IF(OR(R126=0,N126&lt;&gt;SUMIFS('13_검토이력'!$N$6:$N$305,'13_검토이력'!$P$6:$P$305,R126)),1,0))</x:f>
        <x:v>0</x:v>
      </x:c>
      <x:c r="R126" s="36" t="n">
        <x:f>IF(O126=0,0,_xlfn.MAXIFS('13_검토이력'!$P$6:$P$305,'13_검토이력'!$B$6:$B$305,B126,'13_검토이력'!$P$6:$P$305,"&lt;"&amp;P126,'13_검토이력'!$O$6:$O$305,1))</x:f>
        <x:v>0</x:v>
      </x:c>
      <x:c r="S126" s="36" t="n">
        <x:f>IF(A126="",0,IF(OR(H126=TRUE,H126="TRUE",H126="true"),1,0))</x:f>
        <x:v>0</x:v>
      </x:c>
    </x:row>
    <x:row r="127" ht="20" customHeight="1">
      <x:c r="A127" s="22"/>
      <x:c r="B127" s="22"/>
      <x:c r="C127" s="22"/>
      <x:c r="D127" s="28"/>
      <x:c r="E127" s="28"/>
      <x:c r="F127" s="22"/>
      <x:c r="G127" s="22"/>
      <x:c r="H127" s="22"/>
      <x:c r="I127" s="26"/>
      <x:c r="J127" s="22"/>
      <x:c r="K127" s="26"/>
      <x:c r="L127" s="26"/>
      <x:c r="M127" s="28"/>
      <x:c r="N127" s="36" t="n">
        <x:f>IF(A127="",0,IFERROR(MATCH(F127,'17_코드북'!$A$6:$A$14,0)-1,9))</x:f>
        <x:v>0</x:v>
      </x:c>
      <x:c r="O127" s="36" t="n">
        <x:f>IF(A127="",0,IF(AND(D127&lt;='01_설정'!$B$6,E127&lt;='01_설정'!$B$7),1,0))</x:f>
        <x:v>0</x:v>
      </x:c>
      <x:c r="P127" s="36" t="n">
        <x:f>IF(A127="",0,D127*100000+C127)</x:f>
        <x:v>0</x:v>
      </x:c>
      <x:c r="Q127" s="36" t="n">
        <x:f>IF(O127=0,0,IF(OR(R127=0,N127&lt;&gt;SUMIFS('13_검토이력'!$N$6:$N$305,'13_검토이력'!$P$6:$P$305,R127)),1,0))</x:f>
        <x:v>0</x:v>
      </x:c>
      <x:c r="R127" s="36" t="n">
        <x:f>IF(O127=0,0,_xlfn.MAXIFS('13_검토이력'!$P$6:$P$305,'13_검토이력'!$B$6:$B$305,B127,'13_검토이력'!$P$6:$P$305,"&lt;"&amp;P127,'13_검토이력'!$O$6:$O$305,1))</x:f>
        <x:v>0</x:v>
      </x:c>
      <x:c r="S127" s="36" t="n">
        <x:f>IF(A127="",0,IF(OR(H127=TRUE,H127="TRUE",H127="true"),1,0))</x:f>
        <x:v>0</x:v>
      </x:c>
    </x:row>
    <x:row r="128" ht="20" customHeight="1">
      <x:c r="A128" s="22"/>
      <x:c r="B128" s="22"/>
      <x:c r="C128" s="22"/>
      <x:c r="D128" s="28"/>
      <x:c r="E128" s="28"/>
      <x:c r="F128" s="22"/>
      <x:c r="G128" s="22"/>
      <x:c r="H128" s="22"/>
      <x:c r="I128" s="26"/>
      <x:c r="J128" s="22"/>
      <x:c r="K128" s="26"/>
      <x:c r="L128" s="26"/>
      <x:c r="M128" s="28"/>
      <x:c r="N128" s="36" t="n">
        <x:f>IF(A128="",0,IFERROR(MATCH(F128,'17_코드북'!$A$6:$A$14,0)-1,9))</x:f>
        <x:v>0</x:v>
      </x:c>
      <x:c r="O128" s="36" t="n">
        <x:f>IF(A128="",0,IF(AND(D128&lt;='01_설정'!$B$6,E128&lt;='01_설정'!$B$7),1,0))</x:f>
        <x:v>0</x:v>
      </x:c>
      <x:c r="P128" s="36" t="n">
        <x:f>IF(A128="",0,D128*100000+C128)</x:f>
        <x:v>0</x:v>
      </x:c>
      <x:c r="Q128" s="36" t="n">
        <x:f>IF(O128=0,0,IF(OR(R128=0,N128&lt;&gt;SUMIFS('13_검토이력'!$N$6:$N$305,'13_검토이력'!$P$6:$P$305,R128)),1,0))</x:f>
        <x:v>0</x:v>
      </x:c>
      <x:c r="R128" s="36" t="n">
        <x:f>IF(O128=0,0,_xlfn.MAXIFS('13_검토이력'!$P$6:$P$305,'13_검토이력'!$B$6:$B$305,B128,'13_검토이력'!$P$6:$P$305,"&lt;"&amp;P128,'13_검토이력'!$O$6:$O$305,1))</x:f>
        <x:v>0</x:v>
      </x:c>
      <x:c r="S128" s="36" t="n">
        <x:f>IF(A128="",0,IF(OR(H128=TRUE,H128="TRUE",H128="true"),1,0))</x:f>
        <x:v>0</x:v>
      </x:c>
    </x:row>
    <x:row r="129" ht="20" customHeight="1">
      <x:c r="A129" s="22"/>
      <x:c r="B129" s="22"/>
      <x:c r="C129" s="22"/>
      <x:c r="D129" s="28"/>
      <x:c r="E129" s="28"/>
      <x:c r="F129" s="22"/>
      <x:c r="G129" s="22"/>
      <x:c r="H129" s="22"/>
      <x:c r="I129" s="26"/>
      <x:c r="J129" s="22"/>
      <x:c r="K129" s="26"/>
      <x:c r="L129" s="26"/>
      <x:c r="M129" s="28"/>
      <x:c r="N129" s="36" t="n">
        <x:f>IF(A129="",0,IFERROR(MATCH(F129,'17_코드북'!$A$6:$A$14,0)-1,9))</x:f>
        <x:v>0</x:v>
      </x:c>
      <x:c r="O129" s="36" t="n">
        <x:f>IF(A129="",0,IF(AND(D129&lt;='01_설정'!$B$6,E129&lt;='01_설정'!$B$7),1,0))</x:f>
        <x:v>0</x:v>
      </x:c>
      <x:c r="P129" s="36" t="n">
        <x:f>IF(A129="",0,D129*100000+C129)</x:f>
        <x:v>0</x:v>
      </x:c>
      <x:c r="Q129" s="36" t="n">
        <x:f>IF(O129=0,0,IF(OR(R129=0,N129&lt;&gt;SUMIFS('13_검토이력'!$N$6:$N$305,'13_검토이력'!$P$6:$P$305,R129)),1,0))</x:f>
        <x:v>0</x:v>
      </x:c>
      <x:c r="R129" s="36" t="n">
        <x:f>IF(O129=0,0,_xlfn.MAXIFS('13_검토이력'!$P$6:$P$305,'13_검토이력'!$B$6:$B$305,B129,'13_검토이력'!$P$6:$P$305,"&lt;"&amp;P129,'13_검토이력'!$O$6:$O$305,1))</x:f>
        <x:v>0</x:v>
      </x:c>
      <x:c r="S129" s="36" t="n">
        <x:f>IF(A129="",0,IF(OR(H129=TRUE,H129="TRUE",H129="true"),1,0))</x:f>
        <x:v>0</x:v>
      </x:c>
    </x:row>
    <x:row r="130" ht="20" customHeight="1">
      <x:c r="A130" s="22"/>
      <x:c r="B130" s="22"/>
      <x:c r="C130" s="22"/>
      <x:c r="D130" s="28"/>
      <x:c r="E130" s="28"/>
      <x:c r="F130" s="22"/>
      <x:c r="G130" s="22"/>
      <x:c r="H130" s="22"/>
      <x:c r="I130" s="26"/>
      <x:c r="J130" s="22"/>
      <x:c r="K130" s="26"/>
      <x:c r="L130" s="26"/>
      <x:c r="M130" s="28"/>
      <x:c r="N130" s="36" t="n">
        <x:f>IF(A130="",0,IFERROR(MATCH(F130,'17_코드북'!$A$6:$A$14,0)-1,9))</x:f>
        <x:v>0</x:v>
      </x:c>
      <x:c r="O130" s="36" t="n">
        <x:f>IF(A130="",0,IF(AND(D130&lt;='01_설정'!$B$6,E130&lt;='01_설정'!$B$7),1,0))</x:f>
        <x:v>0</x:v>
      </x:c>
      <x:c r="P130" s="36" t="n">
        <x:f>IF(A130="",0,D130*100000+C130)</x:f>
        <x:v>0</x:v>
      </x:c>
      <x:c r="Q130" s="36" t="n">
        <x:f>IF(O130=0,0,IF(OR(R130=0,N130&lt;&gt;SUMIFS('13_검토이력'!$N$6:$N$305,'13_검토이력'!$P$6:$P$305,R130)),1,0))</x:f>
        <x:v>0</x:v>
      </x:c>
      <x:c r="R130" s="36" t="n">
        <x:f>IF(O130=0,0,_xlfn.MAXIFS('13_검토이력'!$P$6:$P$305,'13_검토이력'!$B$6:$B$305,B130,'13_검토이력'!$P$6:$P$305,"&lt;"&amp;P130,'13_검토이력'!$O$6:$O$305,1))</x:f>
        <x:v>0</x:v>
      </x:c>
      <x:c r="S130" s="36" t="n">
        <x:f>IF(A130="",0,IF(OR(H130=TRUE,H130="TRUE",H130="true"),1,0))</x:f>
        <x:v>0</x:v>
      </x:c>
    </x:row>
    <x:row r="131" ht="20" customHeight="1">
      <x:c r="A131" s="22"/>
      <x:c r="B131" s="22"/>
      <x:c r="C131" s="22"/>
      <x:c r="D131" s="28"/>
      <x:c r="E131" s="28"/>
      <x:c r="F131" s="22"/>
      <x:c r="G131" s="22"/>
      <x:c r="H131" s="22"/>
      <x:c r="I131" s="26"/>
      <x:c r="J131" s="22"/>
      <x:c r="K131" s="26"/>
      <x:c r="L131" s="26"/>
      <x:c r="M131" s="28"/>
      <x:c r="N131" s="36" t="n">
        <x:f>IF(A131="",0,IFERROR(MATCH(F131,'17_코드북'!$A$6:$A$14,0)-1,9))</x:f>
        <x:v>0</x:v>
      </x:c>
      <x:c r="O131" s="36" t="n">
        <x:f>IF(A131="",0,IF(AND(D131&lt;='01_설정'!$B$6,E131&lt;='01_설정'!$B$7),1,0))</x:f>
        <x:v>0</x:v>
      </x:c>
      <x:c r="P131" s="36" t="n">
        <x:f>IF(A131="",0,D131*100000+C131)</x:f>
        <x:v>0</x:v>
      </x:c>
      <x:c r="Q131" s="36" t="n">
        <x:f>IF(O131=0,0,IF(OR(R131=0,N131&lt;&gt;SUMIFS('13_검토이력'!$N$6:$N$305,'13_검토이력'!$P$6:$P$305,R131)),1,0))</x:f>
        <x:v>0</x:v>
      </x:c>
      <x:c r="R131" s="36" t="n">
        <x:f>IF(O131=0,0,_xlfn.MAXIFS('13_검토이력'!$P$6:$P$305,'13_검토이력'!$B$6:$B$305,B131,'13_검토이력'!$P$6:$P$305,"&lt;"&amp;P131,'13_검토이력'!$O$6:$O$305,1))</x:f>
        <x:v>0</x:v>
      </x:c>
      <x:c r="S131" s="36" t="n">
        <x:f>IF(A131="",0,IF(OR(H131=TRUE,H131="TRUE",H131="true"),1,0))</x:f>
        <x:v>0</x:v>
      </x:c>
    </x:row>
    <x:row r="132" ht="20" customHeight="1">
      <x:c r="A132" s="22"/>
      <x:c r="B132" s="22"/>
      <x:c r="C132" s="22"/>
      <x:c r="D132" s="28"/>
      <x:c r="E132" s="28"/>
      <x:c r="F132" s="22"/>
      <x:c r="G132" s="22"/>
      <x:c r="H132" s="22"/>
      <x:c r="I132" s="26"/>
      <x:c r="J132" s="22"/>
      <x:c r="K132" s="26"/>
      <x:c r="L132" s="26"/>
      <x:c r="M132" s="28"/>
      <x:c r="N132" s="36" t="n">
        <x:f>IF(A132="",0,IFERROR(MATCH(F132,'17_코드북'!$A$6:$A$14,0)-1,9))</x:f>
        <x:v>0</x:v>
      </x:c>
      <x:c r="O132" s="36" t="n">
        <x:f>IF(A132="",0,IF(AND(D132&lt;='01_설정'!$B$6,E132&lt;='01_설정'!$B$7),1,0))</x:f>
        <x:v>0</x:v>
      </x:c>
      <x:c r="P132" s="36" t="n">
        <x:f>IF(A132="",0,D132*100000+C132)</x:f>
        <x:v>0</x:v>
      </x:c>
      <x:c r="Q132" s="36" t="n">
        <x:f>IF(O132=0,0,IF(OR(R132=0,N132&lt;&gt;SUMIFS('13_검토이력'!$N$6:$N$305,'13_검토이력'!$P$6:$P$305,R132)),1,0))</x:f>
        <x:v>0</x:v>
      </x:c>
      <x:c r="R132" s="36" t="n">
        <x:f>IF(O132=0,0,_xlfn.MAXIFS('13_검토이력'!$P$6:$P$305,'13_검토이력'!$B$6:$B$305,B132,'13_검토이력'!$P$6:$P$305,"&lt;"&amp;P132,'13_검토이력'!$O$6:$O$305,1))</x:f>
        <x:v>0</x:v>
      </x:c>
      <x:c r="S132" s="36" t="n">
        <x:f>IF(A132="",0,IF(OR(H132=TRUE,H132="TRUE",H132="true"),1,0))</x:f>
        <x:v>0</x:v>
      </x:c>
    </x:row>
    <x:row r="133" ht="20" customHeight="1">
      <x:c r="A133" s="22"/>
      <x:c r="B133" s="22"/>
      <x:c r="C133" s="22"/>
      <x:c r="D133" s="28"/>
      <x:c r="E133" s="28"/>
      <x:c r="F133" s="22"/>
      <x:c r="G133" s="22"/>
      <x:c r="H133" s="22"/>
      <x:c r="I133" s="26"/>
      <x:c r="J133" s="22"/>
      <x:c r="K133" s="26"/>
      <x:c r="L133" s="26"/>
      <x:c r="M133" s="28"/>
      <x:c r="N133" s="36" t="n">
        <x:f>IF(A133="",0,IFERROR(MATCH(F133,'17_코드북'!$A$6:$A$14,0)-1,9))</x:f>
        <x:v>0</x:v>
      </x:c>
      <x:c r="O133" s="36" t="n">
        <x:f>IF(A133="",0,IF(AND(D133&lt;='01_설정'!$B$6,E133&lt;='01_설정'!$B$7),1,0))</x:f>
        <x:v>0</x:v>
      </x:c>
      <x:c r="P133" s="36" t="n">
        <x:f>IF(A133="",0,D133*100000+C133)</x:f>
        <x:v>0</x:v>
      </x:c>
      <x:c r="Q133" s="36" t="n">
        <x:f>IF(O133=0,0,IF(OR(R133=0,N133&lt;&gt;SUMIFS('13_검토이력'!$N$6:$N$305,'13_검토이력'!$P$6:$P$305,R133)),1,0))</x:f>
        <x:v>0</x:v>
      </x:c>
      <x:c r="R133" s="36" t="n">
        <x:f>IF(O133=0,0,_xlfn.MAXIFS('13_검토이력'!$P$6:$P$305,'13_검토이력'!$B$6:$B$305,B133,'13_검토이력'!$P$6:$P$305,"&lt;"&amp;P133,'13_검토이력'!$O$6:$O$305,1))</x:f>
        <x:v>0</x:v>
      </x:c>
      <x:c r="S133" s="36" t="n">
        <x:f>IF(A133="",0,IF(OR(H133=TRUE,H133="TRUE",H133="true"),1,0))</x:f>
        <x:v>0</x:v>
      </x:c>
    </x:row>
    <x:row r="134" ht="20" customHeight="1">
      <x:c r="A134" s="22"/>
      <x:c r="B134" s="22"/>
      <x:c r="C134" s="22"/>
      <x:c r="D134" s="28"/>
      <x:c r="E134" s="28"/>
      <x:c r="F134" s="22"/>
      <x:c r="G134" s="22"/>
      <x:c r="H134" s="22"/>
      <x:c r="I134" s="26"/>
      <x:c r="J134" s="22"/>
      <x:c r="K134" s="26"/>
      <x:c r="L134" s="26"/>
      <x:c r="M134" s="28"/>
      <x:c r="N134" s="36" t="n">
        <x:f>IF(A134="",0,IFERROR(MATCH(F134,'17_코드북'!$A$6:$A$14,0)-1,9))</x:f>
        <x:v>0</x:v>
      </x:c>
      <x:c r="O134" s="36" t="n">
        <x:f>IF(A134="",0,IF(AND(D134&lt;='01_설정'!$B$6,E134&lt;='01_설정'!$B$7),1,0))</x:f>
        <x:v>0</x:v>
      </x:c>
      <x:c r="P134" s="36" t="n">
        <x:f>IF(A134="",0,D134*100000+C134)</x:f>
        <x:v>0</x:v>
      </x:c>
      <x:c r="Q134" s="36" t="n">
        <x:f>IF(O134=0,0,IF(OR(R134=0,N134&lt;&gt;SUMIFS('13_검토이력'!$N$6:$N$305,'13_검토이력'!$P$6:$P$305,R134)),1,0))</x:f>
        <x:v>0</x:v>
      </x:c>
      <x:c r="R134" s="36" t="n">
        <x:f>IF(O134=0,0,_xlfn.MAXIFS('13_검토이력'!$P$6:$P$305,'13_검토이력'!$B$6:$B$305,B134,'13_검토이력'!$P$6:$P$305,"&lt;"&amp;P134,'13_검토이력'!$O$6:$O$305,1))</x:f>
        <x:v>0</x:v>
      </x:c>
      <x:c r="S134" s="36" t="n">
        <x:f>IF(A134="",0,IF(OR(H134=TRUE,H134="TRUE",H134="true"),1,0))</x:f>
        <x:v>0</x:v>
      </x:c>
    </x:row>
    <x:row r="135" ht="20" customHeight="1">
      <x:c r="A135" s="22"/>
      <x:c r="B135" s="22"/>
      <x:c r="C135" s="22"/>
      <x:c r="D135" s="28"/>
      <x:c r="E135" s="28"/>
      <x:c r="F135" s="22"/>
      <x:c r="G135" s="22"/>
      <x:c r="H135" s="22"/>
      <x:c r="I135" s="26"/>
      <x:c r="J135" s="22"/>
      <x:c r="K135" s="26"/>
      <x:c r="L135" s="26"/>
      <x:c r="M135" s="28"/>
      <x:c r="N135" s="36" t="n">
        <x:f>IF(A135="",0,IFERROR(MATCH(F135,'17_코드북'!$A$6:$A$14,0)-1,9))</x:f>
        <x:v>0</x:v>
      </x:c>
      <x:c r="O135" s="36" t="n">
        <x:f>IF(A135="",0,IF(AND(D135&lt;='01_설정'!$B$6,E135&lt;='01_설정'!$B$7),1,0))</x:f>
        <x:v>0</x:v>
      </x:c>
      <x:c r="P135" s="36" t="n">
        <x:f>IF(A135="",0,D135*100000+C135)</x:f>
        <x:v>0</x:v>
      </x:c>
      <x:c r="Q135" s="36" t="n">
        <x:f>IF(O135=0,0,IF(OR(R135=0,N135&lt;&gt;SUMIFS('13_검토이력'!$N$6:$N$305,'13_검토이력'!$P$6:$P$305,R135)),1,0))</x:f>
        <x:v>0</x:v>
      </x:c>
      <x:c r="R135" s="36" t="n">
        <x:f>IF(O135=0,0,_xlfn.MAXIFS('13_검토이력'!$P$6:$P$305,'13_검토이력'!$B$6:$B$305,B135,'13_검토이력'!$P$6:$P$305,"&lt;"&amp;P135,'13_검토이력'!$O$6:$O$305,1))</x:f>
        <x:v>0</x:v>
      </x:c>
      <x:c r="S135" s="36" t="n">
        <x:f>IF(A135="",0,IF(OR(H135=TRUE,H135="TRUE",H135="true"),1,0))</x:f>
        <x:v>0</x:v>
      </x:c>
    </x:row>
    <x:row r="136" ht="20" customHeight="1">
      <x:c r="A136" s="22"/>
      <x:c r="B136" s="22"/>
      <x:c r="C136" s="22"/>
      <x:c r="D136" s="28"/>
      <x:c r="E136" s="28"/>
      <x:c r="F136" s="22"/>
      <x:c r="G136" s="22"/>
      <x:c r="H136" s="22"/>
      <x:c r="I136" s="26"/>
      <x:c r="J136" s="22"/>
      <x:c r="K136" s="26"/>
      <x:c r="L136" s="26"/>
      <x:c r="M136" s="28"/>
      <x:c r="N136" s="36" t="n">
        <x:f>IF(A136="",0,IFERROR(MATCH(F136,'17_코드북'!$A$6:$A$14,0)-1,9))</x:f>
        <x:v>0</x:v>
      </x:c>
      <x:c r="O136" s="36" t="n">
        <x:f>IF(A136="",0,IF(AND(D136&lt;='01_설정'!$B$6,E136&lt;='01_설정'!$B$7),1,0))</x:f>
        <x:v>0</x:v>
      </x:c>
      <x:c r="P136" s="36" t="n">
        <x:f>IF(A136="",0,D136*100000+C136)</x:f>
        <x:v>0</x:v>
      </x:c>
      <x:c r="Q136" s="36" t="n">
        <x:f>IF(O136=0,0,IF(OR(R136=0,N136&lt;&gt;SUMIFS('13_검토이력'!$N$6:$N$305,'13_검토이력'!$P$6:$P$305,R136)),1,0))</x:f>
        <x:v>0</x:v>
      </x:c>
      <x:c r="R136" s="36" t="n">
        <x:f>IF(O136=0,0,_xlfn.MAXIFS('13_검토이력'!$P$6:$P$305,'13_검토이력'!$B$6:$B$305,B136,'13_검토이력'!$P$6:$P$305,"&lt;"&amp;P136,'13_검토이력'!$O$6:$O$305,1))</x:f>
        <x:v>0</x:v>
      </x:c>
      <x:c r="S136" s="36" t="n">
        <x:f>IF(A136="",0,IF(OR(H136=TRUE,H136="TRUE",H136="true"),1,0))</x:f>
        <x:v>0</x:v>
      </x:c>
    </x:row>
    <x:row r="137" ht="20" customHeight="1">
      <x:c r="A137" s="22"/>
      <x:c r="B137" s="22"/>
      <x:c r="C137" s="22"/>
      <x:c r="D137" s="28"/>
      <x:c r="E137" s="28"/>
      <x:c r="F137" s="22"/>
      <x:c r="G137" s="22"/>
      <x:c r="H137" s="22"/>
      <x:c r="I137" s="26"/>
      <x:c r="J137" s="22"/>
      <x:c r="K137" s="26"/>
      <x:c r="L137" s="26"/>
      <x:c r="M137" s="28"/>
      <x:c r="N137" s="36" t="n">
        <x:f>IF(A137="",0,IFERROR(MATCH(F137,'17_코드북'!$A$6:$A$14,0)-1,9))</x:f>
        <x:v>0</x:v>
      </x:c>
      <x:c r="O137" s="36" t="n">
        <x:f>IF(A137="",0,IF(AND(D137&lt;='01_설정'!$B$6,E137&lt;='01_설정'!$B$7),1,0))</x:f>
        <x:v>0</x:v>
      </x:c>
      <x:c r="P137" s="36" t="n">
        <x:f>IF(A137="",0,D137*100000+C137)</x:f>
        <x:v>0</x:v>
      </x:c>
      <x:c r="Q137" s="36" t="n">
        <x:f>IF(O137=0,0,IF(OR(R137=0,N137&lt;&gt;SUMIFS('13_검토이력'!$N$6:$N$305,'13_검토이력'!$P$6:$P$305,R137)),1,0))</x:f>
        <x:v>0</x:v>
      </x:c>
      <x:c r="R137" s="36" t="n">
        <x:f>IF(O137=0,0,_xlfn.MAXIFS('13_검토이력'!$P$6:$P$305,'13_검토이력'!$B$6:$B$305,B137,'13_검토이력'!$P$6:$P$305,"&lt;"&amp;P137,'13_검토이력'!$O$6:$O$305,1))</x:f>
        <x:v>0</x:v>
      </x:c>
      <x:c r="S137" s="36" t="n">
        <x:f>IF(A137="",0,IF(OR(H137=TRUE,H137="TRUE",H137="true"),1,0))</x:f>
        <x:v>0</x:v>
      </x:c>
    </x:row>
    <x:row r="138" ht="20" customHeight="1">
      <x:c r="A138" s="22"/>
      <x:c r="B138" s="22"/>
      <x:c r="C138" s="22"/>
      <x:c r="D138" s="28"/>
      <x:c r="E138" s="28"/>
      <x:c r="F138" s="22"/>
      <x:c r="G138" s="22"/>
      <x:c r="H138" s="22"/>
      <x:c r="I138" s="26"/>
      <x:c r="J138" s="22"/>
      <x:c r="K138" s="26"/>
      <x:c r="L138" s="26"/>
      <x:c r="M138" s="28"/>
      <x:c r="N138" s="36" t="n">
        <x:f>IF(A138="",0,IFERROR(MATCH(F138,'17_코드북'!$A$6:$A$14,0)-1,9))</x:f>
        <x:v>0</x:v>
      </x:c>
      <x:c r="O138" s="36" t="n">
        <x:f>IF(A138="",0,IF(AND(D138&lt;='01_설정'!$B$6,E138&lt;='01_설정'!$B$7),1,0))</x:f>
        <x:v>0</x:v>
      </x:c>
      <x:c r="P138" s="36" t="n">
        <x:f>IF(A138="",0,D138*100000+C138)</x:f>
        <x:v>0</x:v>
      </x:c>
      <x:c r="Q138" s="36" t="n">
        <x:f>IF(O138=0,0,IF(OR(R138=0,N138&lt;&gt;SUMIFS('13_검토이력'!$N$6:$N$305,'13_검토이력'!$P$6:$P$305,R138)),1,0))</x:f>
        <x:v>0</x:v>
      </x:c>
      <x:c r="R138" s="36" t="n">
        <x:f>IF(O138=0,0,_xlfn.MAXIFS('13_검토이력'!$P$6:$P$305,'13_검토이력'!$B$6:$B$305,B138,'13_검토이력'!$P$6:$P$305,"&lt;"&amp;P138,'13_검토이력'!$O$6:$O$305,1))</x:f>
        <x:v>0</x:v>
      </x:c>
      <x:c r="S138" s="36" t="n">
        <x:f>IF(A138="",0,IF(OR(H138=TRUE,H138="TRUE",H138="true"),1,0))</x:f>
        <x:v>0</x:v>
      </x:c>
    </x:row>
    <x:row r="139" ht="20" customHeight="1">
      <x:c r="A139" s="22"/>
      <x:c r="B139" s="22"/>
      <x:c r="C139" s="22"/>
      <x:c r="D139" s="28"/>
      <x:c r="E139" s="28"/>
      <x:c r="F139" s="22"/>
      <x:c r="G139" s="22"/>
      <x:c r="H139" s="22"/>
      <x:c r="I139" s="26"/>
      <x:c r="J139" s="22"/>
      <x:c r="K139" s="26"/>
      <x:c r="L139" s="26"/>
      <x:c r="M139" s="28"/>
      <x:c r="N139" s="36" t="n">
        <x:f>IF(A139="",0,IFERROR(MATCH(F139,'17_코드북'!$A$6:$A$14,0)-1,9))</x:f>
        <x:v>0</x:v>
      </x:c>
      <x:c r="O139" s="36" t="n">
        <x:f>IF(A139="",0,IF(AND(D139&lt;='01_설정'!$B$6,E139&lt;='01_설정'!$B$7),1,0))</x:f>
        <x:v>0</x:v>
      </x:c>
      <x:c r="P139" s="36" t="n">
        <x:f>IF(A139="",0,D139*100000+C139)</x:f>
        <x:v>0</x:v>
      </x:c>
      <x:c r="Q139" s="36" t="n">
        <x:f>IF(O139=0,0,IF(OR(R139=0,N139&lt;&gt;SUMIFS('13_검토이력'!$N$6:$N$305,'13_검토이력'!$P$6:$P$305,R139)),1,0))</x:f>
        <x:v>0</x:v>
      </x:c>
      <x:c r="R139" s="36" t="n">
        <x:f>IF(O139=0,0,_xlfn.MAXIFS('13_검토이력'!$P$6:$P$305,'13_검토이력'!$B$6:$B$305,B139,'13_검토이력'!$P$6:$P$305,"&lt;"&amp;P139,'13_검토이력'!$O$6:$O$305,1))</x:f>
        <x:v>0</x:v>
      </x:c>
      <x:c r="S139" s="36" t="n">
        <x:f>IF(A139="",0,IF(OR(H139=TRUE,H139="TRUE",H139="true"),1,0))</x:f>
        <x:v>0</x:v>
      </x:c>
    </x:row>
    <x:row r="140" ht="20" customHeight="1">
      <x:c r="A140" s="22"/>
      <x:c r="B140" s="22"/>
      <x:c r="C140" s="22"/>
      <x:c r="D140" s="28"/>
      <x:c r="E140" s="28"/>
      <x:c r="F140" s="22"/>
      <x:c r="G140" s="22"/>
      <x:c r="H140" s="22"/>
      <x:c r="I140" s="26"/>
      <x:c r="J140" s="22"/>
      <x:c r="K140" s="26"/>
      <x:c r="L140" s="26"/>
      <x:c r="M140" s="28"/>
      <x:c r="N140" s="36" t="n">
        <x:f>IF(A140="",0,IFERROR(MATCH(F140,'17_코드북'!$A$6:$A$14,0)-1,9))</x:f>
        <x:v>0</x:v>
      </x:c>
      <x:c r="O140" s="36" t="n">
        <x:f>IF(A140="",0,IF(AND(D140&lt;='01_설정'!$B$6,E140&lt;='01_설정'!$B$7),1,0))</x:f>
        <x:v>0</x:v>
      </x:c>
      <x:c r="P140" s="36" t="n">
        <x:f>IF(A140="",0,D140*100000+C140)</x:f>
        <x:v>0</x:v>
      </x:c>
      <x:c r="Q140" s="36" t="n">
        <x:f>IF(O140=0,0,IF(OR(R140=0,N140&lt;&gt;SUMIFS('13_검토이력'!$N$6:$N$305,'13_검토이력'!$P$6:$P$305,R140)),1,0))</x:f>
        <x:v>0</x:v>
      </x:c>
      <x:c r="R140" s="36" t="n">
        <x:f>IF(O140=0,0,_xlfn.MAXIFS('13_검토이력'!$P$6:$P$305,'13_검토이력'!$B$6:$B$305,B140,'13_검토이력'!$P$6:$P$305,"&lt;"&amp;P140,'13_검토이력'!$O$6:$O$305,1))</x:f>
        <x:v>0</x:v>
      </x:c>
      <x:c r="S140" s="36" t="n">
        <x:f>IF(A140="",0,IF(OR(H140=TRUE,H140="TRUE",H140="true"),1,0))</x:f>
        <x:v>0</x:v>
      </x:c>
    </x:row>
    <x:row r="141" ht="20" customHeight="1">
      <x:c r="A141" s="22"/>
      <x:c r="B141" s="22"/>
      <x:c r="C141" s="22"/>
      <x:c r="D141" s="28"/>
      <x:c r="E141" s="28"/>
      <x:c r="F141" s="22"/>
      <x:c r="G141" s="22"/>
      <x:c r="H141" s="22"/>
      <x:c r="I141" s="26"/>
      <x:c r="J141" s="22"/>
      <x:c r="K141" s="26"/>
      <x:c r="L141" s="26"/>
      <x:c r="M141" s="28"/>
      <x:c r="N141" s="36" t="n">
        <x:f>IF(A141="",0,IFERROR(MATCH(F141,'17_코드북'!$A$6:$A$14,0)-1,9))</x:f>
        <x:v>0</x:v>
      </x:c>
      <x:c r="O141" s="36" t="n">
        <x:f>IF(A141="",0,IF(AND(D141&lt;='01_설정'!$B$6,E141&lt;='01_설정'!$B$7),1,0))</x:f>
        <x:v>0</x:v>
      </x:c>
      <x:c r="P141" s="36" t="n">
        <x:f>IF(A141="",0,D141*100000+C141)</x:f>
        <x:v>0</x:v>
      </x:c>
      <x:c r="Q141" s="36" t="n">
        <x:f>IF(O141=0,0,IF(OR(R141=0,N141&lt;&gt;SUMIFS('13_검토이력'!$N$6:$N$305,'13_검토이력'!$P$6:$P$305,R141)),1,0))</x:f>
        <x:v>0</x:v>
      </x:c>
      <x:c r="R141" s="36" t="n">
        <x:f>IF(O141=0,0,_xlfn.MAXIFS('13_검토이력'!$P$6:$P$305,'13_검토이력'!$B$6:$B$305,B141,'13_검토이력'!$P$6:$P$305,"&lt;"&amp;P141,'13_검토이력'!$O$6:$O$305,1))</x:f>
        <x:v>0</x:v>
      </x:c>
      <x:c r="S141" s="36" t="n">
        <x:f>IF(A141="",0,IF(OR(H141=TRUE,H141="TRUE",H141="true"),1,0))</x:f>
        <x:v>0</x:v>
      </x:c>
    </x:row>
    <x:row r="142" ht="20" customHeight="1">
      <x:c r="A142" s="22"/>
      <x:c r="B142" s="22"/>
      <x:c r="C142" s="22"/>
      <x:c r="D142" s="28"/>
      <x:c r="E142" s="28"/>
      <x:c r="F142" s="22"/>
      <x:c r="G142" s="22"/>
      <x:c r="H142" s="22"/>
      <x:c r="I142" s="26"/>
      <x:c r="J142" s="22"/>
      <x:c r="K142" s="26"/>
      <x:c r="L142" s="26"/>
      <x:c r="M142" s="28"/>
      <x:c r="N142" s="36" t="n">
        <x:f>IF(A142="",0,IFERROR(MATCH(F142,'17_코드북'!$A$6:$A$14,0)-1,9))</x:f>
        <x:v>0</x:v>
      </x:c>
      <x:c r="O142" s="36" t="n">
        <x:f>IF(A142="",0,IF(AND(D142&lt;='01_설정'!$B$6,E142&lt;='01_설정'!$B$7),1,0))</x:f>
        <x:v>0</x:v>
      </x:c>
      <x:c r="P142" s="36" t="n">
        <x:f>IF(A142="",0,D142*100000+C142)</x:f>
        <x:v>0</x:v>
      </x:c>
      <x:c r="Q142" s="36" t="n">
        <x:f>IF(O142=0,0,IF(OR(R142=0,N142&lt;&gt;SUMIFS('13_검토이력'!$N$6:$N$305,'13_검토이력'!$P$6:$P$305,R142)),1,0))</x:f>
        <x:v>0</x:v>
      </x:c>
      <x:c r="R142" s="36" t="n">
        <x:f>IF(O142=0,0,_xlfn.MAXIFS('13_검토이력'!$P$6:$P$305,'13_검토이력'!$B$6:$B$305,B142,'13_검토이력'!$P$6:$P$305,"&lt;"&amp;P142,'13_검토이력'!$O$6:$O$305,1))</x:f>
        <x:v>0</x:v>
      </x:c>
      <x:c r="S142" s="36" t="n">
        <x:f>IF(A142="",0,IF(OR(H142=TRUE,H142="TRUE",H142="true"),1,0))</x:f>
        <x:v>0</x:v>
      </x:c>
    </x:row>
    <x:row r="143" ht="20" customHeight="1">
      <x:c r="A143" s="22"/>
      <x:c r="B143" s="22"/>
      <x:c r="C143" s="22"/>
      <x:c r="D143" s="28"/>
      <x:c r="E143" s="28"/>
      <x:c r="F143" s="22"/>
      <x:c r="G143" s="22"/>
      <x:c r="H143" s="22"/>
      <x:c r="I143" s="26"/>
      <x:c r="J143" s="22"/>
      <x:c r="K143" s="26"/>
      <x:c r="L143" s="26"/>
      <x:c r="M143" s="28"/>
      <x:c r="N143" s="36" t="n">
        <x:f>IF(A143="",0,IFERROR(MATCH(F143,'17_코드북'!$A$6:$A$14,0)-1,9))</x:f>
        <x:v>0</x:v>
      </x:c>
      <x:c r="O143" s="36" t="n">
        <x:f>IF(A143="",0,IF(AND(D143&lt;='01_설정'!$B$6,E143&lt;='01_설정'!$B$7),1,0))</x:f>
        <x:v>0</x:v>
      </x:c>
      <x:c r="P143" s="36" t="n">
        <x:f>IF(A143="",0,D143*100000+C143)</x:f>
        <x:v>0</x:v>
      </x:c>
      <x:c r="Q143" s="36" t="n">
        <x:f>IF(O143=0,0,IF(OR(R143=0,N143&lt;&gt;SUMIFS('13_검토이력'!$N$6:$N$305,'13_검토이력'!$P$6:$P$305,R143)),1,0))</x:f>
        <x:v>0</x:v>
      </x:c>
      <x:c r="R143" s="36" t="n">
        <x:f>IF(O143=0,0,_xlfn.MAXIFS('13_검토이력'!$P$6:$P$305,'13_검토이력'!$B$6:$B$305,B143,'13_검토이력'!$P$6:$P$305,"&lt;"&amp;P143,'13_검토이력'!$O$6:$O$305,1))</x:f>
        <x:v>0</x:v>
      </x:c>
      <x:c r="S143" s="36" t="n">
        <x:f>IF(A143="",0,IF(OR(H143=TRUE,H143="TRUE",H143="true"),1,0))</x:f>
        <x:v>0</x:v>
      </x:c>
    </x:row>
    <x:row r="144" ht="20" customHeight="1">
      <x:c r="A144" s="22"/>
      <x:c r="B144" s="22"/>
      <x:c r="C144" s="22"/>
      <x:c r="D144" s="28"/>
      <x:c r="E144" s="28"/>
      <x:c r="F144" s="22"/>
      <x:c r="G144" s="22"/>
      <x:c r="H144" s="22"/>
      <x:c r="I144" s="26"/>
      <x:c r="J144" s="22"/>
      <x:c r="K144" s="26"/>
      <x:c r="L144" s="26"/>
      <x:c r="M144" s="28"/>
      <x:c r="N144" s="36" t="n">
        <x:f>IF(A144="",0,IFERROR(MATCH(F144,'17_코드북'!$A$6:$A$14,0)-1,9))</x:f>
        <x:v>0</x:v>
      </x:c>
      <x:c r="O144" s="36" t="n">
        <x:f>IF(A144="",0,IF(AND(D144&lt;='01_설정'!$B$6,E144&lt;='01_설정'!$B$7),1,0))</x:f>
        <x:v>0</x:v>
      </x:c>
      <x:c r="P144" s="36" t="n">
        <x:f>IF(A144="",0,D144*100000+C144)</x:f>
        <x:v>0</x:v>
      </x:c>
      <x:c r="Q144" s="36" t="n">
        <x:f>IF(O144=0,0,IF(OR(R144=0,N144&lt;&gt;SUMIFS('13_검토이력'!$N$6:$N$305,'13_검토이력'!$P$6:$P$305,R144)),1,0))</x:f>
        <x:v>0</x:v>
      </x:c>
      <x:c r="R144" s="36" t="n">
        <x:f>IF(O144=0,0,_xlfn.MAXIFS('13_검토이력'!$P$6:$P$305,'13_검토이력'!$B$6:$B$305,B144,'13_검토이력'!$P$6:$P$305,"&lt;"&amp;P144,'13_검토이력'!$O$6:$O$305,1))</x:f>
        <x:v>0</x:v>
      </x:c>
      <x:c r="S144" s="36" t="n">
        <x:f>IF(A144="",0,IF(OR(H144=TRUE,H144="TRUE",H144="true"),1,0))</x:f>
        <x:v>0</x:v>
      </x:c>
    </x:row>
    <x:row r="145" ht="20" customHeight="1">
      <x:c r="A145" s="22"/>
      <x:c r="B145" s="22"/>
      <x:c r="C145" s="22"/>
      <x:c r="D145" s="28"/>
      <x:c r="E145" s="28"/>
      <x:c r="F145" s="22"/>
      <x:c r="G145" s="22"/>
      <x:c r="H145" s="22"/>
      <x:c r="I145" s="26"/>
      <x:c r="J145" s="22"/>
      <x:c r="K145" s="26"/>
      <x:c r="L145" s="26"/>
      <x:c r="M145" s="28"/>
      <x:c r="N145" s="36" t="n">
        <x:f>IF(A145="",0,IFERROR(MATCH(F145,'17_코드북'!$A$6:$A$14,0)-1,9))</x:f>
        <x:v>0</x:v>
      </x:c>
      <x:c r="O145" s="36" t="n">
        <x:f>IF(A145="",0,IF(AND(D145&lt;='01_설정'!$B$6,E145&lt;='01_설정'!$B$7),1,0))</x:f>
        <x:v>0</x:v>
      </x:c>
      <x:c r="P145" s="36" t="n">
        <x:f>IF(A145="",0,D145*100000+C145)</x:f>
        <x:v>0</x:v>
      </x:c>
      <x:c r="Q145" s="36" t="n">
        <x:f>IF(O145=0,0,IF(OR(R145=0,N145&lt;&gt;SUMIFS('13_검토이력'!$N$6:$N$305,'13_검토이력'!$P$6:$P$305,R145)),1,0))</x:f>
        <x:v>0</x:v>
      </x:c>
      <x:c r="R145" s="36" t="n">
        <x:f>IF(O145=0,0,_xlfn.MAXIFS('13_검토이력'!$P$6:$P$305,'13_검토이력'!$B$6:$B$305,B145,'13_검토이력'!$P$6:$P$305,"&lt;"&amp;P145,'13_검토이력'!$O$6:$O$305,1))</x:f>
        <x:v>0</x:v>
      </x:c>
      <x:c r="S145" s="36" t="n">
        <x:f>IF(A145="",0,IF(OR(H145=TRUE,H145="TRUE",H145="true"),1,0))</x:f>
        <x:v>0</x:v>
      </x:c>
    </x:row>
    <x:row r="146" ht="20" customHeight="1">
      <x:c r="A146" s="22"/>
      <x:c r="B146" s="22"/>
      <x:c r="C146" s="22"/>
      <x:c r="D146" s="28"/>
      <x:c r="E146" s="28"/>
      <x:c r="F146" s="22"/>
      <x:c r="G146" s="22"/>
      <x:c r="H146" s="22"/>
      <x:c r="I146" s="26"/>
      <x:c r="J146" s="22"/>
      <x:c r="K146" s="26"/>
      <x:c r="L146" s="26"/>
      <x:c r="M146" s="28"/>
      <x:c r="N146" s="36" t="n">
        <x:f>IF(A146="",0,IFERROR(MATCH(F146,'17_코드북'!$A$6:$A$14,0)-1,9))</x:f>
        <x:v>0</x:v>
      </x:c>
      <x:c r="O146" s="36" t="n">
        <x:f>IF(A146="",0,IF(AND(D146&lt;='01_설정'!$B$6,E146&lt;='01_설정'!$B$7),1,0))</x:f>
        <x:v>0</x:v>
      </x:c>
      <x:c r="P146" s="36" t="n">
        <x:f>IF(A146="",0,D146*100000+C146)</x:f>
        <x:v>0</x:v>
      </x:c>
      <x:c r="Q146" s="36" t="n">
        <x:f>IF(O146=0,0,IF(OR(R146=0,N146&lt;&gt;SUMIFS('13_검토이력'!$N$6:$N$305,'13_검토이력'!$P$6:$P$305,R146)),1,0))</x:f>
        <x:v>0</x:v>
      </x:c>
      <x:c r="R146" s="36" t="n">
        <x:f>IF(O146=0,0,_xlfn.MAXIFS('13_검토이력'!$P$6:$P$305,'13_검토이력'!$B$6:$B$305,B146,'13_검토이력'!$P$6:$P$305,"&lt;"&amp;P146,'13_검토이력'!$O$6:$O$305,1))</x:f>
        <x:v>0</x:v>
      </x:c>
      <x:c r="S146" s="36" t="n">
        <x:f>IF(A146="",0,IF(OR(H146=TRUE,H146="TRUE",H146="true"),1,0))</x:f>
        <x:v>0</x:v>
      </x:c>
    </x:row>
    <x:row r="147" ht="20" customHeight="1">
      <x:c r="A147" s="22"/>
      <x:c r="B147" s="22"/>
      <x:c r="C147" s="22"/>
      <x:c r="D147" s="28"/>
      <x:c r="E147" s="28"/>
      <x:c r="F147" s="22"/>
      <x:c r="G147" s="22"/>
      <x:c r="H147" s="22"/>
      <x:c r="I147" s="26"/>
      <x:c r="J147" s="22"/>
      <x:c r="K147" s="26"/>
      <x:c r="L147" s="26"/>
      <x:c r="M147" s="28"/>
      <x:c r="N147" s="36" t="n">
        <x:f>IF(A147="",0,IFERROR(MATCH(F147,'17_코드북'!$A$6:$A$14,0)-1,9))</x:f>
        <x:v>0</x:v>
      </x:c>
      <x:c r="O147" s="36" t="n">
        <x:f>IF(A147="",0,IF(AND(D147&lt;='01_설정'!$B$6,E147&lt;='01_설정'!$B$7),1,0))</x:f>
        <x:v>0</x:v>
      </x:c>
      <x:c r="P147" s="36" t="n">
        <x:f>IF(A147="",0,D147*100000+C147)</x:f>
        <x:v>0</x:v>
      </x:c>
      <x:c r="Q147" s="36" t="n">
        <x:f>IF(O147=0,0,IF(OR(R147=0,N147&lt;&gt;SUMIFS('13_검토이력'!$N$6:$N$305,'13_검토이력'!$P$6:$P$305,R147)),1,0))</x:f>
        <x:v>0</x:v>
      </x:c>
      <x:c r="R147" s="36" t="n">
        <x:f>IF(O147=0,0,_xlfn.MAXIFS('13_검토이력'!$P$6:$P$305,'13_검토이력'!$B$6:$B$305,B147,'13_검토이력'!$P$6:$P$305,"&lt;"&amp;P147,'13_검토이력'!$O$6:$O$305,1))</x:f>
        <x:v>0</x:v>
      </x:c>
      <x:c r="S147" s="36" t="n">
        <x:f>IF(A147="",0,IF(OR(H147=TRUE,H147="TRUE",H147="true"),1,0))</x:f>
        <x:v>0</x:v>
      </x:c>
    </x:row>
    <x:row r="148" ht="20" customHeight="1">
      <x:c r="A148" s="22"/>
      <x:c r="B148" s="22"/>
      <x:c r="C148" s="22"/>
      <x:c r="D148" s="28"/>
      <x:c r="E148" s="28"/>
      <x:c r="F148" s="22"/>
      <x:c r="G148" s="22"/>
      <x:c r="H148" s="22"/>
      <x:c r="I148" s="26"/>
      <x:c r="J148" s="22"/>
      <x:c r="K148" s="26"/>
      <x:c r="L148" s="26"/>
      <x:c r="M148" s="28"/>
      <x:c r="N148" s="36" t="n">
        <x:f>IF(A148="",0,IFERROR(MATCH(F148,'17_코드북'!$A$6:$A$14,0)-1,9))</x:f>
        <x:v>0</x:v>
      </x:c>
      <x:c r="O148" s="36" t="n">
        <x:f>IF(A148="",0,IF(AND(D148&lt;='01_설정'!$B$6,E148&lt;='01_설정'!$B$7),1,0))</x:f>
        <x:v>0</x:v>
      </x:c>
      <x:c r="P148" s="36" t="n">
        <x:f>IF(A148="",0,D148*100000+C148)</x:f>
        <x:v>0</x:v>
      </x:c>
      <x:c r="Q148" s="36" t="n">
        <x:f>IF(O148=0,0,IF(OR(R148=0,N148&lt;&gt;SUMIFS('13_검토이력'!$N$6:$N$305,'13_검토이력'!$P$6:$P$305,R148)),1,0))</x:f>
        <x:v>0</x:v>
      </x:c>
      <x:c r="R148" s="36" t="n">
        <x:f>IF(O148=0,0,_xlfn.MAXIFS('13_검토이력'!$P$6:$P$305,'13_검토이력'!$B$6:$B$305,B148,'13_검토이력'!$P$6:$P$305,"&lt;"&amp;P148,'13_검토이력'!$O$6:$O$305,1))</x:f>
        <x:v>0</x:v>
      </x:c>
      <x:c r="S148" s="36" t="n">
        <x:f>IF(A148="",0,IF(OR(H148=TRUE,H148="TRUE",H148="true"),1,0))</x:f>
        <x:v>0</x:v>
      </x:c>
    </x:row>
    <x:row r="149" ht="20" customHeight="1">
      <x:c r="A149" s="22"/>
      <x:c r="B149" s="22"/>
      <x:c r="C149" s="22"/>
      <x:c r="D149" s="28"/>
      <x:c r="E149" s="28"/>
      <x:c r="F149" s="22"/>
      <x:c r="G149" s="22"/>
      <x:c r="H149" s="22"/>
      <x:c r="I149" s="26"/>
      <x:c r="J149" s="22"/>
      <x:c r="K149" s="26"/>
      <x:c r="L149" s="26"/>
      <x:c r="M149" s="28"/>
      <x:c r="N149" s="36" t="n">
        <x:f>IF(A149="",0,IFERROR(MATCH(F149,'17_코드북'!$A$6:$A$14,0)-1,9))</x:f>
        <x:v>0</x:v>
      </x:c>
      <x:c r="O149" s="36" t="n">
        <x:f>IF(A149="",0,IF(AND(D149&lt;='01_설정'!$B$6,E149&lt;='01_설정'!$B$7),1,0))</x:f>
        <x:v>0</x:v>
      </x:c>
      <x:c r="P149" s="36" t="n">
        <x:f>IF(A149="",0,D149*100000+C149)</x:f>
        <x:v>0</x:v>
      </x:c>
      <x:c r="Q149" s="36" t="n">
        <x:f>IF(O149=0,0,IF(OR(R149=0,N149&lt;&gt;SUMIFS('13_검토이력'!$N$6:$N$305,'13_검토이력'!$P$6:$P$305,R149)),1,0))</x:f>
        <x:v>0</x:v>
      </x:c>
      <x:c r="R149" s="36" t="n">
        <x:f>IF(O149=0,0,_xlfn.MAXIFS('13_검토이력'!$P$6:$P$305,'13_검토이력'!$B$6:$B$305,B149,'13_검토이력'!$P$6:$P$305,"&lt;"&amp;P149,'13_검토이력'!$O$6:$O$305,1))</x:f>
        <x:v>0</x:v>
      </x:c>
      <x:c r="S149" s="36" t="n">
        <x:f>IF(A149="",0,IF(OR(H149=TRUE,H149="TRUE",H149="true"),1,0))</x:f>
        <x:v>0</x:v>
      </x:c>
    </x:row>
    <x:row r="150" ht="20" customHeight="1">
      <x:c r="A150" s="22"/>
      <x:c r="B150" s="22"/>
      <x:c r="C150" s="22"/>
      <x:c r="D150" s="28"/>
      <x:c r="E150" s="28"/>
      <x:c r="F150" s="22"/>
      <x:c r="G150" s="22"/>
      <x:c r="H150" s="22"/>
      <x:c r="I150" s="26"/>
      <x:c r="J150" s="22"/>
      <x:c r="K150" s="26"/>
      <x:c r="L150" s="26"/>
      <x:c r="M150" s="28"/>
      <x:c r="N150" s="36" t="n">
        <x:f>IF(A150="",0,IFERROR(MATCH(F150,'17_코드북'!$A$6:$A$14,0)-1,9))</x:f>
        <x:v>0</x:v>
      </x:c>
      <x:c r="O150" s="36" t="n">
        <x:f>IF(A150="",0,IF(AND(D150&lt;='01_설정'!$B$6,E150&lt;='01_설정'!$B$7),1,0))</x:f>
        <x:v>0</x:v>
      </x:c>
      <x:c r="P150" s="36" t="n">
        <x:f>IF(A150="",0,D150*100000+C150)</x:f>
        <x:v>0</x:v>
      </x:c>
      <x:c r="Q150" s="36" t="n">
        <x:f>IF(O150=0,0,IF(OR(R150=0,N150&lt;&gt;SUMIFS('13_검토이력'!$N$6:$N$305,'13_검토이력'!$P$6:$P$305,R150)),1,0))</x:f>
        <x:v>0</x:v>
      </x:c>
      <x:c r="R150" s="36" t="n">
        <x:f>IF(O150=0,0,_xlfn.MAXIFS('13_검토이력'!$P$6:$P$305,'13_검토이력'!$B$6:$B$305,B150,'13_검토이력'!$P$6:$P$305,"&lt;"&amp;P150,'13_검토이력'!$O$6:$O$305,1))</x:f>
        <x:v>0</x:v>
      </x:c>
      <x:c r="S150" s="36" t="n">
        <x:f>IF(A150="",0,IF(OR(H150=TRUE,H150="TRUE",H150="true"),1,0))</x:f>
        <x:v>0</x:v>
      </x:c>
    </x:row>
    <x:row r="151" ht="20" customHeight="1">
      <x:c r="A151" s="22"/>
      <x:c r="B151" s="22"/>
      <x:c r="C151" s="22"/>
      <x:c r="D151" s="28"/>
      <x:c r="E151" s="28"/>
      <x:c r="F151" s="22"/>
      <x:c r="G151" s="22"/>
      <x:c r="H151" s="22"/>
      <x:c r="I151" s="26"/>
      <x:c r="J151" s="22"/>
      <x:c r="K151" s="26"/>
      <x:c r="L151" s="26"/>
      <x:c r="M151" s="28"/>
      <x:c r="N151" s="36" t="n">
        <x:f>IF(A151="",0,IFERROR(MATCH(F151,'17_코드북'!$A$6:$A$14,0)-1,9))</x:f>
        <x:v>0</x:v>
      </x:c>
      <x:c r="O151" s="36" t="n">
        <x:f>IF(A151="",0,IF(AND(D151&lt;='01_설정'!$B$6,E151&lt;='01_설정'!$B$7),1,0))</x:f>
        <x:v>0</x:v>
      </x:c>
      <x:c r="P151" s="36" t="n">
        <x:f>IF(A151="",0,D151*100000+C151)</x:f>
        <x:v>0</x:v>
      </x:c>
      <x:c r="Q151" s="36" t="n">
        <x:f>IF(O151=0,0,IF(OR(R151=0,N151&lt;&gt;SUMIFS('13_검토이력'!$N$6:$N$305,'13_검토이력'!$P$6:$P$305,R151)),1,0))</x:f>
        <x:v>0</x:v>
      </x:c>
      <x:c r="R151" s="36" t="n">
        <x:f>IF(O151=0,0,_xlfn.MAXIFS('13_검토이력'!$P$6:$P$305,'13_검토이력'!$B$6:$B$305,B151,'13_검토이력'!$P$6:$P$305,"&lt;"&amp;P151,'13_검토이력'!$O$6:$O$305,1))</x:f>
        <x:v>0</x:v>
      </x:c>
      <x:c r="S151" s="36" t="n">
        <x:f>IF(A151="",0,IF(OR(H151=TRUE,H151="TRUE",H151="true"),1,0))</x:f>
        <x:v>0</x:v>
      </x:c>
    </x:row>
    <x:row r="152" ht="20" customHeight="1">
      <x:c r="A152" s="22"/>
      <x:c r="B152" s="22"/>
      <x:c r="C152" s="22"/>
      <x:c r="D152" s="28"/>
      <x:c r="E152" s="28"/>
      <x:c r="F152" s="22"/>
      <x:c r="G152" s="22"/>
      <x:c r="H152" s="22"/>
      <x:c r="I152" s="26"/>
      <x:c r="J152" s="22"/>
      <x:c r="K152" s="26"/>
      <x:c r="L152" s="26"/>
      <x:c r="M152" s="28"/>
      <x:c r="N152" s="36" t="n">
        <x:f>IF(A152="",0,IFERROR(MATCH(F152,'17_코드북'!$A$6:$A$14,0)-1,9))</x:f>
        <x:v>0</x:v>
      </x:c>
      <x:c r="O152" s="36" t="n">
        <x:f>IF(A152="",0,IF(AND(D152&lt;='01_설정'!$B$6,E152&lt;='01_설정'!$B$7),1,0))</x:f>
        <x:v>0</x:v>
      </x:c>
      <x:c r="P152" s="36" t="n">
        <x:f>IF(A152="",0,D152*100000+C152)</x:f>
        <x:v>0</x:v>
      </x:c>
      <x:c r="Q152" s="36" t="n">
        <x:f>IF(O152=0,0,IF(OR(R152=0,N152&lt;&gt;SUMIFS('13_검토이력'!$N$6:$N$305,'13_검토이력'!$P$6:$P$305,R152)),1,0))</x:f>
        <x:v>0</x:v>
      </x:c>
      <x:c r="R152" s="36" t="n">
        <x:f>IF(O152=0,0,_xlfn.MAXIFS('13_검토이력'!$P$6:$P$305,'13_검토이력'!$B$6:$B$305,B152,'13_검토이력'!$P$6:$P$305,"&lt;"&amp;P152,'13_검토이력'!$O$6:$O$305,1))</x:f>
        <x:v>0</x:v>
      </x:c>
      <x:c r="S152" s="36" t="n">
        <x:f>IF(A152="",0,IF(OR(H152=TRUE,H152="TRUE",H152="true"),1,0))</x:f>
        <x:v>0</x:v>
      </x:c>
    </x:row>
    <x:row r="153" ht="20" customHeight="1">
      <x:c r="A153" s="22"/>
      <x:c r="B153" s="22"/>
      <x:c r="C153" s="22"/>
      <x:c r="D153" s="28"/>
      <x:c r="E153" s="28"/>
      <x:c r="F153" s="22"/>
      <x:c r="G153" s="22"/>
      <x:c r="H153" s="22"/>
      <x:c r="I153" s="26"/>
      <x:c r="J153" s="22"/>
      <x:c r="K153" s="26"/>
      <x:c r="L153" s="26"/>
      <x:c r="M153" s="28"/>
      <x:c r="N153" s="36" t="n">
        <x:f>IF(A153="",0,IFERROR(MATCH(F153,'17_코드북'!$A$6:$A$14,0)-1,9))</x:f>
        <x:v>0</x:v>
      </x:c>
      <x:c r="O153" s="36" t="n">
        <x:f>IF(A153="",0,IF(AND(D153&lt;='01_설정'!$B$6,E153&lt;='01_설정'!$B$7),1,0))</x:f>
        <x:v>0</x:v>
      </x:c>
      <x:c r="P153" s="36" t="n">
        <x:f>IF(A153="",0,D153*100000+C153)</x:f>
        <x:v>0</x:v>
      </x:c>
      <x:c r="Q153" s="36" t="n">
        <x:f>IF(O153=0,0,IF(OR(R153=0,N153&lt;&gt;SUMIFS('13_검토이력'!$N$6:$N$305,'13_검토이력'!$P$6:$P$305,R153)),1,0))</x:f>
        <x:v>0</x:v>
      </x:c>
      <x:c r="R153" s="36" t="n">
        <x:f>IF(O153=0,0,_xlfn.MAXIFS('13_검토이력'!$P$6:$P$305,'13_검토이력'!$B$6:$B$305,B153,'13_검토이력'!$P$6:$P$305,"&lt;"&amp;P153,'13_검토이력'!$O$6:$O$305,1))</x:f>
        <x:v>0</x:v>
      </x:c>
      <x:c r="S153" s="36" t="n">
        <x:f>IF(A153="",0,IF(OR(H153=TRUE,H153="TRUE",H153="true"),1,0))</x:f>
        <x:v>0</x:v>
      </x:c>
    </x:row>
    <x:row r="154" ht="20" customHeight="1">
      <x:c r="A154" s="22"/>
      <x:c r="B154" s="22"/>
      <x:c r="C154" s="22"/>
      <x:c r="D154" s="28"/>
      <x:c r="E154" s="28"/>
      <x:c r="F154" s="22"/>
      <x:c r="G154" s="22"/>
      <x:c r="H154" s="22"/>
      <x:c r="I154" s="26"/>
      <x:c r="J154" s="22"/>
      <x:c r="K154" s="26"/>
      <x:c r="L154" s="26"/>
      <x:c r="M154" s="28"/>
      <x:c r="N154" s="36" t="n">
        <x:f>IF(A154="",0,IFERROR(MATCH(F154,'17_코드북'!$A$6:$A$14,0)-1,9))</x:f>
        <x:v>0</x:v>
      </x:c>
      <x:c r="O154" s="36" t="n">
        <x:f>IF(A154="",0,IF(AND(D154&lt;='01_설정'!$B$6,E154&lt;='01_설정'!$B$7),1,0))</x:f>
        <x:v>0</x:v>
      </x:c>
      <x:c r="P154" s="36" t="n">
        <x:f>IF(A154="",0,D154*100000+C154)</x:f>
        <x:v>0</x:v>
      </x:c>
      <x:c r="Q154" s="36" t="n">
        <x:f>IF(O154=0,0,IF(OR(R154=0,N154&lt;&gt;SUMIFS('13_검토이력'!$N$6:$N$305,'13_검토이력'!$P$6:$P$305,R154)),1,0))</x:f>
        <x:v>0</x:v>
      </x:c>
      <x:c r="R154" s="36" t="n">
        <x:f>IF(O154=0,0,_xlfn.MAXIFS('13_검토이력'!$P$6:$P$305,'13_검토이력'!$B$6:$B$305,B154,'13_검토이력'!$P$6:$P$305,"&lt;"&amp;P154,'13_검토이력'!$O$6:$O$305,1))</x:f>
        <x:v>0</x:v>
      </x:c>
      <x:c r="S154" s="36" t="n">
        <x:f>IF(A154="",0,IF(OR(H154=TRUE,H154="TRUE",H154="true"),1,0))</x:f>
        <x:v>0</x:v>
      </x:c>
    </x:row>
    <x:row r="155" ht="20" customHeight="1">
      <x:c r="A155" s="22"/>
      <x:c r="B155" s="22"/>
      <x:c r="C155" s="22"/>
      <x:c r="D155" s="28"/>
      <x:c r="E155" s="28"/>
      <x:c r="F155" s="22"/>
      <x:c r="G155" s="22"/>
      <x:c r="H155" s="22"/>
      <x:c r="I155" s="26"/>
      <x:c r="J155" s="22"/>
      <x:c r="K155" s="26"/>
      <x:c r="L155" s="26"/>
      <x:c r="M155" s="28"/>
      <x:c r="N155" s="36" t="n">
        <x:f>IF(A155="",0,IFERROR(MATCH(F155,'17_코드북'!$A$6:$A$14,0)-1,9))</x:f>
        <x:v>0</x:v>
      </x:c>
      <x:c r="O155" s="36" t="n">
        <x:f>IF(A155="",0,IF(AND(D155&lt;='01_설정'!$B$6,E155&lt;='01_설정'!$B$7),1,0))</x:f>
        <x:v>0</x:v>
      </x:c>
      <x:c r="P155" s="36" t="n">
        <x:f>IF(A155="",0,D155*100000+C155)</x:f>
        <x:v>0</x:v>
      </x:c>
      <x:c r="Q155" s="36" t="n">
        <x:f>IF(O155=0,0,IF(OR(R155=0,N155&lt;&gt;SUMIFS('13_검토이력'!$N$6:$N$305,'13_검토이력'!$P$6:$P$305,R155)),1,0))</x:f>
        <x:v>0</x:v>
      </x:c>
      <x:c r="R155" s="36" t="n">
        <x:f>IF(O155=0,0,_xlfn.MAXIFS('13_검토이력'!$P$6:$P$305,'13_검토이력'!$B$6:$B$305,B155,'13_검토이력'!$P$6:$P$305,"&lt;"&amp;P155,'13_검토이력'!$O$6:$O$305,1))</x:f>
        <x:v>0</x:v>
      </x:c>
      <x:c r="S155" s="36" t="n">
        <x:f>IF(A155="",0,IF(OR(H155=TRUE,H155="TRUE",H155="true"),1,0))</x:f>
        <x:v>0</x:v>
      </x:c>
    </x:row>
    <x:row r="156" ht="20" customHeight="1">
      <x:c r="A156" s="22"/>
      <x:c r="B156" s="22"/>
      <x:c r="C156" s="22"/>
      <x:c r="D156" s="28"/>
      <x:c r="E156" s="28"/>
      <x:c r="F156" s="22"/>
      <x:c r="G156" s="22"/>
      <x:c r="H156" s="22"/>
      <x:c r="I156" s="26"/>
      <x:c r="J156" s="22"/>
      <x:c r="K156" s="26"/>
      <x:c r="L156" s="26"/>
      <x:c r="M156" s="28"/>
      <x:c r="N156" s="36" t="n">
        <x:f>IF(A156="",0,IFERROR(MATCH(F156,'17_코드북'!$A$6:$A$14,0)-1,9))</x:f>
        <x:v>0</x:v>
      </x:c>
      <x:c r="O156" s="36" t="n">
        <x:f>IF(A156="",0,IF(AND(D156&lt;='01_설정'!$B$6,E156&lt;='01_설정'!$B$7),1,0))</x:f>
        <x:v>0</x:v>
      </x:c>
      <x:c r="P156" s="36" t="n">
        <x:f>IF(A156="",0,D156*100000+C156)</x:f>
        <x:v>0</x:v>
      </x:c>
      <x:c r="Q156" s="36" t="n">
        <x:f>IF(O156=0,0,IF(OR(R156=0,N156&lt;&gt;SUMIFS('13_검토이력'!$N$6:$N$305,'13_검토이력'!$P$6:$P$305,R156)),1,0))</x:f>
        <x:v>0</x:v>
      </x:c>
      <x:c r="R156" s="36" t="n">
        <x:f>IF(O156=0,0,_xlfn.MAXIFS('13_검토이력'!$P$6:$P$305,'13_검토이력'!$B$6:$B$305,B156,'13_검토이력'!$P$6:$P$305,"&lt;"&amp;P156,'13_검토이력'!$O$6:$O$305,1))</x:f>
        <x:v>0</x:v>
      </x:c>
      <x:c r="S156" s="36" t="n">
        <x:f>IF(A156="",0,IF(OR(H156=TRUE,H156="TRUE",H156="true"),1,0))</x:f>
        <x:v>0</x:v>
      </x:c>
    </x:row>
    <x:row r="157" ht="20" customHeight="1">
      <x:c r="A157" s="22"/>
      <x:c r="B157" s="22"/>
      <x:c r="C157" s="22"/>
      <x:c r="D157" s="28"/>
      <x:c r="E157" s="28"/>
      <x:c r="F157" s="22"/>
      <x:c r="G157" s="22"/>
      <x:c r="H157" s="22"/>
      <x:c r="I157" s="26"/>
      <x:c r="J157" s="22"/>
      <x:c r="K157" s="26"/>
      <x:c r="L157" s="26"/>
      <x:c r="M157" s="28"/>
      <x:c r="N157" s="36" t="n">
        <x:f>IF(A157="",0,IFERROR(MATCH(F157,'17_코드북'!$A$6:$A$14,0)-1,9))</x:f>
        <x:v>0</x:v>
      </x:c>
      <x:c r="O157" s="36" t="n">
        <x:f>IF(A157="",0,IF(AND(D157&lt;='01_설정'!$B$6,E157&lt;='01_설정'!$B$7),1,0))</x:f>
        <x:v>0</x:v>
      </x:c>
      <x:c r="P157" s="36" t="n">
        <x:f>IF(A157="",0,D157*100000+C157)</x:f>
        <x:v>0</x:v>
      </x:c>
      <x:c r="Q157" s="36" t="n">
        <x:f>IF(O157=0,0,IF(OR(R157=0,N157&lt;&gt;SUMIFS('13_검토이력'!$N$6:$N$305,'13_검토이력'!$P$6:$P$305,R157)),1,0))</x:f>
        <x:v>0</x:v>
      </x:c>
      <x:c r="R157" s="36" t="n">
        <x:f>IF(O157=0,0,_xlfn.MAXIFS('13_검토이력'!$P$6:$P$305,'13_검토이력'!$B$6:$B$305,B157,'13_검토이력'!$P$6:$P$305,"&lt;"&amp;P157,'13_검토이력'!$O$6:$O$305,1))</x:f>
        <x:v>0</x:v>
      </x:c>
      <x:c r="S157" s="36" t="n">
        <x:f>IF(A157="",0,IF(OR(H157=TRUE,H157="TRUE",H157="true"),1,0))</x:f>
        <x:v>0</x:v>
      </x:c>
    </x:row>
    <x:row r="158" ht="20" customHeight="1">
      <x:c r="A158" s="22"/>
      <x:c r="B158" s="22"/>
      <x:c r="C158" s="22"/>
      <x:c r="D158" s="28"/>
      <x:c r="E158" s="28"/>
      <x:c r="F158" s="22"/>
      <x:c r="G158" s="22"/>
      <x:c r="H158" s="22"/>
      <x:c r="I158" s="26"/>
      <x:c r="J158" s="22"/>
      <x:c r="K158" s="26"/>
      <x:c r="L158" s="26"/>
      <x:c r="M158" s="28"/>
      <x:c r="N158" s="36" t="n">
        <x:f>IF(A158="",0,IFERROR(MATCH(F158,'17_코드북'!$A$6:$A$14,0)-1,9))</x:f>
        <x:v>0</x:v>
      </x:c>
      <x:c r="O158" s="36" t="n">
        <x:f>IF(A158="",0,IF(AND(D158&lt;='01_설정'!$B$6,E158&lt;='01_설정'!$B$7),1,0))</x:f>
        <x:v>0</x:v>
      </x:c>
      <x:c r="P158" s="36" t="n">
        <x:f>IF(A158="",0,D158*100000+C158)</x:f>
        <x:v>0</x:v>
      </x:c>
      <x:c r="Q158" s="36" t="n">
        <x:f>IF(O158=0,0,IF(OR(R158=0,N158&lt;&gt;SUMIFS('13_검토이력'!$N$6:$N$305,'13_검토이력'!$P$6:$P$305,R158)),1,0))</x:f>
        <x:v>0</x:v>
      </x:c>
      <x:c r="R158" s="36" t="n">
        <x:f>IF(O158=0,0,_xlfn.MAXIFS('13_검토이력'!$P$6:$P$305,'13_검토이력'!$B$6:$B$305,B158,'13_검토이력'!$P$6:$P$305,"&lt;"&amp;P158,'13_검토이력'!$O$6:$O$305,1))</x:f>
        <x:v>0</x:v>
      </x:c>
      <x:c r="S158" s="36" t="n">
        <x:f>IF(A158="",0,IF(OR(H158=TRUE,H158="TRUE",H158="true"),1,0))</x:f>
        <x:v>0</x:v>
      </x:c>
    </x:row>
    <x:row r="159" ht="20" customHeight="1">
      <x:c r="A159" s="22"/>
      <x:c r="B159" s="22"/>
      <x:c r="C159" s="22"/>
      <x:c r="D159" s="28"/>
      <x:c r="E159" s="28"/>
      <x:c r="F159" s="22"/>
      <x:c r="G159" s="22"/>
      <x:c r="H159" s="22"/>
      <x:c r="I159" s="26"/>
      <x:c r="J159" s="22"/>
      <x:c r="K159" s="26"/>
      <x:c r="L159" s="26"/>
      <x:c r="M159" s="28"/>
      <x:c r="N159" s="36" t="n">
        <x:f>IF(A159="",0,IFERROR(MATCH(F159,'17_코드북'!$A$6:$A$14,0)-1,9))</x:f>
        <x:v>0</x:v>
      </x:c>
      <x:c r="O159" s="36" t="n">
        <x:f>IF(A159="",0,IF(AND(D159&lt;='01_설정'!$B$6,E159&lt;='01_설정'!$B$7),1,0))</x:f>
        <x:v>0</x:v>
      </x:c>
      <x:c r="P159" s="36" t="n">
        <x:f>IF(A159="",0,D159*100000+C159)</x:f>
        <x:v>0</x:v>
      </x:c>
      <x:c r="Q159" s="36" t="n">
        <x:f>IF(O159=0,0,IF(OR(R159=0,N159&lt;&gt;SUMIFS('13_검토이력'!$N$6:$N$305,'13_검토이력'!$P$6:$P$305,R159)),1,0))</x:f>
        <x:v>0</x:v>
      </x:c>
      <x:c r="R159" s="36" t="n">
        <x:f>IF(O159=0,0,_xlfn.MAXIFS('13_검토이력'!$P$6:$P$305,'13_검토이력'!$B$6:$B$305,B159,'13_검토이력'!$P$6:$P$305,"&lt;"&amp;P159,'13_검토이력'!$O$6:$O$305,1))</x:f>
        <x:v>0</x:v>
      </x:c>
      <x:c r="S159" s="36" t="n">
        <x:f>IF(A159="",0,IF(OR(H159=TRUE,H159="TRUE",H159="true"),1,0))</x:f>
        <x:v>0</x:v>
      </x:c>
    </x:row>
    <x:row r="160" ht="20" customHeight="1">
      <x:c r="A160" s="22"/>
      <x:c r="B160" s="22"/>
      <x:c r="C160" s="22"/>
      <x:c r="D160" s="28"/>
      <x:c r="E160" s="28"/>
      <x:c r="F160" s="22"/>
      <x:c r="G160" s="22"/>
      <x:c r="H160" s="22"/>
      <x:c r="I160" s="26"/>
      <x:c r="J160" s="22"/>
      <x:c r="K160" s="26"/>
      <x:c r="L160" s="26"/>
      <x:c r="M160" s="28"/>
      <x:c r="N160" s="36" t="n">
        <x:f>IF(A160="",0,IFERROR(MATCH(F160,'17_코드북'!$A$6:$A$14,0)-1,9))</x:f>
        <x:v>0</x:v>
      </x:c>
      <x:c r="O160" s="36" t="n">
        <x:f>IF(A160="",0,IF(AND(D160&lt;='01_설정'!$B$6,E160&lt;='01_설정'!$B$7),1,0))</x:f>
        <x:v>0</x:v>
      </x:c>
      <x:c r="P160" s="36" t="n">
        <x:f>IF(A160="",0,D160*100000+C160)</x:f>
        <x:v>0</x:v>
      </x:c>
      <x:c r="Q160" s="36" t="n">
        <x:f>IF(O160=0,0,IF(OR(R160=0,N160&lt;&gt;SUMIFS('13_검토이력'!$N$6:$N$305,'13_검토이력'!$P$6:$P$305,R160)),1,0))</x:f>
        <x:v>0</x:v>
      </x:c>
      <x:c r="R160" s="36" t="n">
        <x:f>IF(O160=0,0,_xlfn.MAXIFS('13_검토이력'!$P$6:$P$305,'13_검토이력'!$B$6:$B$305,B160,'13_검토이력'!$P$6:$P$305,"&lt;"&amp;P160,'13_검토이력'!$O$6:$O$305,1))</x:f>
        <x:v>0</x:v>
      </x:c>
      <x:c r="S160" s="36" t="n">
        <x:f>IF(A160="",0,IF(OR(H160=TRUE,H160="TRUE",H160="true"),1,0))</x:f>
        <x:v>0</x:v>
      </x:c>
    </x:row>
    <x:row r="161" ht="20" customHeight="1">
      <x:c r="A161" s="22"/>
      <x:c r="B161" s="22"/>
      <x:c r="C161" s="22"/>
      <x:c r="D161" s="28"/>
      <x:c r="E161" s="28"/>
      <x:c r="F161" s="22"/>
      <x:c r="G161" s="22"/>
      <x:c r="H161" s="22"/>
      <x:c r="I161" s="26"/>
      <x:c r="J161" s="22"/>
      <x:c r="K161" s="26"/>
      <x:c r="L161" s="26"/>
      <x:c r="M161" s="28"/>
      <x:c r="N161" s="36" t="n">
        <x:f>IF(A161="",0,IFERROR(MATCH(F161,'17_코드북'!$A$6:$A$14,0)-1,9))</x:f>
        <x:v>0</x:v>
      </x:c>
      <x:c r="O161" s="36" t="n">
        <x:f>IF(A161="",0,IF(AND(D161&lt;='01_설정'!$B$6,E161&lt;='01_설정'!$B$7),1,0))</x:f>
        <x:v>0</x:v>
      </x:c>
      <x:c r="P161" s="36" t="n">
        <x:f>IF(A161="",0,D161*100000+C161)</x:f>
        <x:v>0</x:v>
      </x:c>
      <x:c r="Q161" s="36" t="n">
        <x:f>IF(O161=0,0,IF(OR(R161=0,N161&lt;&gt;SUMIFS('13_검토이력'!$N$6:$N$305,'13_검토이력'!$P$6:$P$305,R161)),1,0))</x:f>
        <x:v>0</x:v>
      </x:c>
      <x:c r="R161" s="36" t="n">
        <x:f>IF(O161=0,0,_xlfn.MAXIFS('13_검토이력'!$P$6:$P$305,'13_검토이력'!$B$6:$B$305,B161,'13_검토이력'!$P$6:$P$305,"&lt;"&amp;P161,'13_검토이력'!$O$6:$O$305,1))</x:f>
        <x:v>0</x:v>
      </x:c>
      <x:c r="S161" s="36" t="n">
        <x:f>IF(A161="",0,IF(OR(H161=TRUE,H161="TRUE",H161="true"),1,0))</x:f>
        <x:v>0</x:v>
      </x:c>
    </x:row>
    <x:row r="162" ht="20" customHeight="1">
      <x:c r="A162" s="22"/>
      <x:c r="B162" s="22"/>
      <x:c r="C162" s="22"/>
      <x:c r="D162" s="28"/>
      <x:c r="E162" s="28"/>
      <x:c r="F162" s="22"/>
      <x:c r="G162" s="22"/>
      <x:c r="H162" s="22"/>
      <x:c r="I162" s="26"/>
      <x:c r="J162" s="22"/>
      <x:c r="K162" s="26"/>
      <x:c r="L162" s="26"/>
      <x:c r="M162" s="28"/>
      <x:c r="N162" s="36" t="n">
        <x:f>IF(A162="",0,IFERROR(MATCH(F162,'17_코드북'!$A$6:$A$14,0)-1,9))</x:f>
        <x:v>0</x:v>
      </x:c>
      <x:c r="O162" s="36" t="n">
        <x:f>IF(A162="",0,IF(AND(D162&lt;='01_설정'!$B$6,E162&lt;='01_설정'!$B$7),1,0))</x:f>
        <x:v>0</x:v>
      </x:c>
      <x:c r="P162" s="36" t="n">
        <x:f>IF(A162="",0,D162*100000+C162)</x:f>
        <x:v>0</x:v>
      </x:c>
      <x:c r="Q162" s="36" t="n">
        <x:f>IF(O162=0,0,IF(OR(R162=0,N162&lt;&gt;SUMIFS('13_검토이력'!$N$6:$N$305,'13_검토이력'!$P$6:$P$305,R162)),1,0))</x:f>
        <x:v>0</x:v>
      </x:c>
      <x:c r="R162" s="36" t="n">
        <x:f>IF(O162=0,0,_xlfn.MAXIFS('13_검토이력'!$P$6:$P$305,'13_검토이력'!$B$6:$B$305,B162,'13_검토이력'!$P$6:$P$305,"&lt;"&amp;P162,'13_검토이력'!$O$6:$O$305,1))</x:f>
        <x:v>0</x:v>
      </x:c>
      <x:c r="S162" s="36" t="n">
        <x:f>IF(A162="",0,IF(OR(H162=TRUE,H162="TRUE",H162="true"),1,0))</x:f>
        <x:v>0</x:v>
      </x:c>
    </x:row>
    <x:row r="163" ht="20" customHeight="1">
      <x:c r="A163" s="22"/>
      <x:c r="B163" s="22"/>
      <x:c r="C163" s="22"/>
      <x:c r="D163" s="28"/>
      <x:c r="E163" s="28"/>
      <x:c r="F163" s="22"/>
      <x:c r="G163" s="22"/>
      <x:c r="H163" s="22"/>
      <x:c r="I163" s="26"/>
      <x:c r="J163" s="22"/>
      <x:c r="K163" s="26"/>
      <x:c r="L163" s="26"/>
      <x:c r="M163" s="28"/>
      <x:c r="N163" s="36" t="n">
        <x:f>IF(A163="",0,IFERROR(MATCH(F163,'17_코드북'!$A$6:$A$14,0)-1,9))</x:f>
        <x:v>0</x:v>
      </x:c>
      <x:c r="O163" s="36" t="n">
        <x:f>IF(A163="",0,IF(AND(D163&lt;='01_설정'!$B$6,E163&lt;='01_설정'!$B$7),1,0))</x:f>
        <x:v>0</x:v>
      </x:c>
      <x:c r="P163" s="36" t="n">
        <x:f>IF(A163="",0,D163*100000+C163)</x:f>
        <x:v>0</x:v>
      </x:c>
      <x:c r="Q163" s="36" t="n">
        <x:f>IF(O163=0,0,IF(OR(R163=0,N163&lt;&gt;SUMIFS('13_검토이력'!$N$6:$N$305,'13_검토이력'!$P$6:$P$305,R163)),1,0))</x:f>
        <x:v>0</x:v>
      </x:c>
      <x:c r="R163" s="36" t="n">
        <x:f>IF(O163=0,0,_xlfn.MAXIFS('13_검토이력'!$P$6:$P$305,'13_검토이력'!$B$6:$B$305,B163,'13_검토이력'!$P$6:$P$305,"&lt;"&amp;P163,'13_검토이력'!$O$6:$O$305,1))</x:f>
        <x:v>0</x:v>
      </x:c>
      <x:c r="S163" s="36" t="n">
        <x:f>IF(A163="",0,IF(OR(H163=TRUE,H163="TRUE",H163="true"),1,0))</x:f>
        <x:v>0</x:v>
      </x:c>
    </x:row>
    <x:row r="164" ht="20" customHeight="1">
      <x:c r="A164" s="22"/>
      <x:c r="B164" s="22"/>
      <x:c r="C164" s="22"/>
      <x:c r="D164" s="28"/>
      <x:c r="E164" s="28"/>
      <x:c r="F164" s="22"/>
      <x:c r="G164" s="22"/>
      <x:c r="H164" s="22"/>
      <x:c r="I164" s="26"/>
      <x:c r="J164" s="22"/>
      <x:c r="K164" s="26"/>
      <x:c r="L164" s="26"/>
      <x:c r="M164" s="28"/>
      <x:c r="N164" s="36" t="n">
        <x:f>IF(A164="",0,IFERROR(MATCH(F164,'17_코드북'!$A$6:$A$14,0)-1,9))</x:f>
        <x:v>0</x:v>
      </x:c>
      <x:c r="O164" s="36" t="n">
        <x:f>IF(A164="",0,IF(AND(D164&lt;='01_설정'!$B$6,E164&lt;='01_설정'!$B$7),1,0))</x:f>
        <x:v>0</x:v>
      </x:c>
      <x:c r="P164" s="36" t="n">
        <x:f>IF(A164="",0,D164*100000+C164)</x:f>
        <x:v>0</x:v>
      </x:c>
      <x:c r="Q164" s="36" t="n">
        <x:f>IF(O164=0,0,IF(OR(R164=0,N164&lt;&gt;SUMIFS('13_검토이력'!$N$6:$N$305,'13_검토이력'!$P$6:$P$305,R164)),1,0))</x:f>
        <x:v>0</x:v>
      </x:c>
      <x:c r="R164" s="36" t="n">
        <x:f>IF(O164=0,0,_xlfn.MAXIFS('13_검토이력'!$P$6:$P$305,'13_검토이력'!$B$6:$B$305,B164,'13_검토이력'!$P$6:$P$305,"&lt;"&amp;P164,'13_검토이력'!$O$6:$O$305,1))</x:f>
        <x:v>0</x:v>
      </x:c>
      <x:c r="S164" s="36" t="n">
        <x:f>IF(A164="",0,IF(OR(H164=TRUE,H164="TRUE",H164="true"),1,0))</x:f>
        <x:v>0</x:v>
      </x:c>
    </x:row>
    <x:row r="165" ht="20" customHeight="1">
      <x:c r="A165" s="22"/>
      <x:c r="B165" s="22"/>
      <x:c r="C165" s="22"/>
      <x:c r="D165" s="28"/>
      <x:c r="E165" s="28"/>
      <x:c r="F165" s="22"/>
      <x:c r="G165" s="22"/>
      <x:c r="H165" s="22"/>
      <x:c r="I165" s="26"/>
      <x:c r="J165" s="22"/>
      <x:c r="K165" s="26"/>
      <x:c r="L165" s="26"/>
      <x:c r="M165" s="28"/>
      <x:c r="N165" s="36" t="n">
        <x:f>IF(A165="",0,IFERROR(MATCH(F165,'17_코드북'!$A$6:$A$14,0)-1,9))</x:f>
        <x:v>0</x:v>
      </x:c>
      <x:c r="O165" s="36" t="n">
        <x:f>IF(A165="",0,IF(AND(D165&lt;='01_설정'!$B$6,E165&lt;='01_설정'!$B$7),1,0))</x:f>
        <x:v>0</x:v>
      </x:c>
      <x:c r="P165" s="36" t="n">
        <x:f>IF(A165="",0,D165*100000+C165)</x:f>
        <x:v>0</x:v>
      </x:c>
      <x:c r="Q165" s="36" t="n">
        <x:f>IF(O165=0,0,IF(OR(R165=0,N165&lt;&gt;SUMIFS('13_검토이력'!$N$6:$N$305,'13_검토이력'!$P$6:$P$305,R165)),1,0))</x:f>
        <x:v>0</x:v>
      </x:c>
      <x:c r="R165" s="36" t="n">
        <x:f>IF(O165=0,0,_xlfn.MAXIFS('13_검토이력'!$P$6:$P$305,'13_검토이력'!$B$6:$B$305,B165,'13_검토이력'!$P$6:$P$305,"&lt;"&amp;P165,'13_검토이력'!$O$6:$O$305,1))</x:f>
        <x:v>0</x:v>
      </x:c>
      <x:c r="S165" s="36" t="n">
        <x:f>IF(A165="",0,IF(OR(H165=TRUE,H165="TRUE",H165="true"),1,0))</x:f>
        <x:v>0</x:v>
      </x:c>
    </x:row>
    <x:row r="166" ht="20" customHeight="1">
      <x:c r="A166" s="22"/>
      <x:c r="B166" s="22"/>
      <x:c r="C166" s="22"/>
      <x:c r="D166" s="28"/>
      <x:c r="E166" s="28"/>
      <x:c r="F166" s="22"/>
      <x:c r="G166" s="22"/>
      <x:c r="H166" s="22"/>
      <x:c r="I166" s="26"/>
      <x:c r="J166" s="22"/>
      <x:c r="K166" s="26"/>
      <x:c r="L166" s="26"/>
      <x:c r="M166" s="28"/>
      <x:c r="N166" s="36" t="n">
        <x:f>IF(A166="",0,IFERROR(MATCH(F166,'17_코드북'!$A$6:$A$14,0)-1,9))</x:f>
        <x:v>0</x:v>
      </x:c>
      <x:c r="O166" s="36" t="n">
        <x:f>IF(A166="",0,IF(AND(D166&lt;='01_설정'!$B$6,E166&lt;='01_설정'!$B$7),1,0))</x:f>
        <x:v>0</x:v>
      </x:c>
      <x:c r="P166" s="36" t="n">
        <x:f>IF(A166="",0,D166*100000+C166)</x:f>
        <x:v>0</x:v>
      </x:c>
      <x:c r="Q166" s="36" t="n">
        <x:f>IF(O166=0,0,IF(OR(R166=0,N166&lt;&gt;SUMIFS('13_검토이력'!$N$6:$N$305,'13_검토이력'!$P$6:$P$305,R166)),1,0))</x:f>
        <x:v>0</x:v>
      </x:c>
      <x:c r="R166" s="36" t="n">
        <x:f>IF(O166=0,0,_xlfn.MAXIFS('13_검토이력'!$P$6:$P$305,'13_검토이력'!$B$6:$B$305,B166,'13_검토이력'!$P$6:$P$305,"&lt;"&amp;P166,'13_검토이력'!$O$6:$O$305,1))</x:f>
        <x:v>0</x:v>
      </x:c>
      <x:c r="S166" s="36" t="n">
        <x:f>IF(A166="",0,IF(OR(H166=TRUE,H166="TRUE",H166="true"),1,0))</x:f>
        <x:v>0</x:v>
      </x:c>
    </x:row>
    <x:row r="167" ht="20" customHeight="1">
      <x:c r="A167" s="22"/>
      <x:c r="B167" s="22"/>
      <x:c r="C167" s="22"/>
      <x:c r="D167" s="28"/>
      <x:c r="E167" s="28"/>
      <x:c r="F167" s="22"/>
      <x:c r="G167" s="22"/>
      <x:c r="H167" s="22"/>
      <x:c r="I167" s="26"/>
      <x:c r="J167" s="22"/>
      <x:c r="K167" s="26"/>
      <x:c r="L167" s="26"/>
      <x:c r="M167" s="28"/>
      <x:c r="N167" s="36" t="n">
        <x:f>IF(A167="",0,IFERROR(MATCH(F167,'17_코드북'!$A$6:$A$14,0)-1,9))</x:f>
        <x:v>0</x:v>
      </x:c>
      <x:c r="O167" s="36" t="n">
        <x:f>IF(A167="",0,IF(AND(D167&lt;='01_설정'!$B$6,E167&lt;='01_설정'!$B$7),1,0))</x:f>
        <x:v>0</x:v>
      </x:c>
      <x:c r="P167" s="36" t="n">
        <x:f>IF(A167="",0,D167*100000+C167)</x:f>
        <x:v>0</x:v>
      </x:c>
      <x:c r="Q167" s="36" t="n">
        <x:f>IF(O167=0,0,IF(OR(R167=0,N167&lt;&gt;SUMIFS('13_검토이력'!$N$6:$N$305,'13_검토이력'!$P$6:$P$305,R167)),1,0))</x:f>
        <x:v>0</x:v>
      </x:c>
      <x:c r="R167" s="36" t="n">
        <x:f>IF(O167=0,0,_xlfn.MAXIFS('13_검토이력'!$P$6:$P$305,'13_검토이력'!$B$6:$B$305,B167,'13_검토이력'!$P$6:$P$305,"&lt;"&amp;P167,'13_검토이력'!$O$6:$O$305,1))</x:f>
        <x:v>0</x:v>
      </x:c>
      <x:c r="S167" s="36" t="n">
        <x:f>IF(A167="",0,IF(OR(H167=TRUE,H167="TRUE",H167="true"),1,0))</x:f>
        <x:v>0</x:v>
      </x:c>
    </x:row>
    <x:row r="168" ht="20" customHeight="1">
      <x:c r="A168" s="22"/>
      <x:c r="B168" s="22"/>
      <x:c r="C168" s="22"/>
      <x:c r="D168" s="28"/>
      <x:c r="E168" s="28"/>
      <x:c r="F168" s="22"/>
      <x:c r="G168" s="22"/>
      <x:c r="H168" s="22"/>
      <x:c r="I168" s="26"/>
      <x:c r="J168" s="22"/>
      <x:c r="K168" s="26"/>
      <x:c r="L168" s="26"/>
      <x:c r="M168" s="28"/>
      <x:c r="N168" s="36" t="n">
        <x:f>IF(A168="",0,IFERROR(MATCH(F168,'17_코드북'!$A$6:$A$14,0)-1,9))</x:f>
        <x:v>0</x:v>
      </x:c>
      <x:c r="O168" s="36" t="n">
        <x:f>IF(A168="",0,IF(AND(D168&lt;='01_설정'!$B$6,E168&lt;='01_설정'!$B$7),1,0))</x:f>
        <x:v>0</x:v>
      </x:c>
      <x:c r="P168" s="36" t="n">
        <x:f>IF(A168="",0,D168*100000+C168)</x:f>
        <x:v>0</x:v>
      </x:c>
      <x:c r="Q168" s="36" t="n">
        <x:f>IF(O168=0,0,IF(OR(R168=0,N168&lt;&gt;SUMIFS('13_검토이력'!$N$6:$N$305,'13_검토이력'!$P$6:$P$305,R168)),1,0))</x:f>
        <x:v>0</x:v>
      </x:c>
      <x:c r="R168" s="36" t="n">
        <x:f>IF(O168=0,0,_xlfn.MAXIFS('13_검토이력'!$P$6:$P$305,'13_검토이력'!$B$6:$B$305,B168,'13_검토이력'!$P$6:$P$305,"&lt;"&amp;P168,'13_검토이력'!$O$6:$O$305,1))</x:f>
        <x:v>0</x:v>
      </x:c>
      <x:c r="S168" s="36" t="n">
        <x:f>IF(A168="",0,IF(OR(H168=TRUE,H168="TRUE",H168="true"),1,0))</x:f>
        <x:v>0</x:v>
      </x:c>
    </x:row>
    <x:row r="169" ht="20" customHeight="1">
      <x:c r="A169" s="22"/>
      <x:c r="B169" s="22"/>
      <x:c r="C169" s="22"/>
      <x:c r="D169" s="28"/>
      <x:c r="E169" s="28"/>
      <x:c r="F169" s="22"/>
      <x:c r="G169" s="22"/>
      <x:c r="H169" s="22"/>
      <x:c r="I169" s="26"/>
      <x:c r="J169" s="22"/>
      <x:c r="K169" s="26"/>
      <x:c r="L169" s="26"/>
      <x:c r="M169" s="28"/>
      <x:c r="N169" s="36" t="n">
        <x:f>IF(A169="",0,IFERROR(MATCH(F169,'17_코드북'!$A$6:$A$14,0)-1,9))</x:f>
        <x:v>0</x:v>
      </x:c>
      <x:c r="O169" s="36" t="n">
        <x:f>IF(A169="",0,IF(AND(D169&lt;='01_설정'!$B$6,E169&lt;='01_설정'!$B$7),1,0))</x:f>
        <x:v>0</x:v>
      </x:c>
      <x:c r="P169" s="36" t="n">
        <x:f>IF(A169="",0,D169*100000+C169)</x:f>
        <x:v>0</x:v>
      </x:c>
      <x:c r="Q169" s="36" t="n">
        <x:f>IF(O169=0,0,IF(OR(R169=0,N169&lt;&gt;SUMIFS('13_검토이력'!$N$6:$N$305,'13_검토이력'!$P$6:$P$305,R169)),1,0))</x:f>
        <x:v>0</x:v>
      </x:c>
      <x:c r="R169" s="36" t="n">
        <x:f>IF(O169=0,0,_xlfn.MAXIFS('13_검토이력'!$P$6:$P$305,'13_검토이력'!$B$6:$B$305,B169,'13_검토이력'!$P$6:$P$305,"&lt;"&amp;P169,'13_검토이력'!$O$6:$O$305,1))</x:f>
        <x:v>0</x:v>
      </x:c>
      <x:c r="S169" s="36" t="n">
        <x:f>IF(A169="",0,IF(OR(H169=TRUE,H169="TRUE",H169="true"),1,0))</x:f>
        <x:v>0</x:v>
      </x:c>
    </x:row>
    <x:row r="170" ht="20" customHeight="1">
      <x:c r="A170" s="22"/>
      <x:c r="B170" s="22"/>
      <x:c r="C170" s="22"/>
      <x:c r="D170" s="28"/>
      <x:c r="E170" s="28"/>
      <x:c r="F170" s="22"/>
      <x:c r="G170" s="22"/>
      <x:c r="H170" s="22"/>
      <x:c r="I170" s="26"/>
      <x:c r="J170" s="22"/>
      <x:c r="K170" s="26"/>
      <x:c r="L170" s="26"/>
      <x:c r="M170" s="28"/>
      <x:c r="N170" s="36" t="n">
        <x:f>IF(A170="",0,IFERROR(MATCH(F170,'17_코드북'!$A$6:$A$14,0)-1,9))</x:f>
        <x:v>0</x:v>
      </x:c>
      <x:c r="O170" s="36" t="n">
        <x:f>IF(A170="",0,IF(AND(D170&lt;='01_설정'!$B$6,E170&lt;='01_설정'!$B$7),1,0))</x:f>
        <x:v>0</x:v>
      </x:c>
      <x:c r="P170" s="36" t="n">
        <x:f>IF(A170="",0,D170*100000+C170)</x:f>
        <x:v>0</x:v>
      </x:c>
      <x:c r="Q170" s="36" t="n">
        <x:f>IF(O170=0,0,IF(OR(R170=0,N170&lt;&gt;SUMIFS('13_검토이력'!$N$6:$N$305,'13_검토이력'!$P$6:$P$305,R170)),1,0))</x:f>
        <x:v>0</x:v>
      </x:c>
      <x:c r="R170" s="36" t="n">
        <x:f>IF(O170=0,0,_xlfn.MAXIFS('13_검토이력'!$P$6:$P$305,'13_검토이력'!$B$6:$B$305,B170,'13_검토이력'!$P$6:$P$305,"&lt;"&amp;P170,'13_검토이력'!$O$6:$O$305,1))</x:f>
        <x:v>0</x:v>
      </x:c>
      <x:c r="S170" s="36" t="n">
        <x:f>IF(A170="",0,IF(OR(H170=TRUE,H170="TRUE",H170="true"),1,0))</x:f>
        <x:v>0</x:v>
      </x:c>
    </x:row>
    <x:row r="171" ht="20" customHeight="1">
      <x:c r="A171" s="22"/>
      <x:c r="B171" s="22"/>
      <x:c r="C171" s="22"/>
      <x:c r="D171" s="28"/>
      <x:c r="E171" s="28"/>
      <x:c r="F171" s="22"/>
      <x:c r="G171" s="22"/>
      <x:c r="H171" s="22"/>
      <x:c r="I171" s="26"/>
      <x:c r="J171" s="22"/>
      <x:c r="K171" s="26"/>
      <x:c r="L171" s="26"/>
      <x:c r="M171" s="28"/>
      <x:c r="N171" s="36" t="n">
        <x:f>IF(A171="",0,IFERROR(MATCH(F171,'17_코드북'!$A$6:$A$14,0)-1,9))</x:f>
        <x:v>0</x:v>
      </x:c>
      <x:c r="O171" s="36" t="n">
        <x:f>IF(A171="",0,IF(AND(D171&lt;='01_설정'!$B$6,E171&lt;='01_설정'!$B$7),1,0))</x:f>
        <x:v>0</x:v>
      </x:c>
      <x:c r="P171" s="36" t="n">
        <x:f>IF(A171="",0,D171*100000+C171)</x:f>
        <x:v>0</x:v>
      </x:c>
      <x:c r="Q171" s="36" t="n">
        <x:f>IF(O171=0,0,IF(OR(R171=0,N171&lt;&gt;SUMIFS('13_검토이력'!$N$6:$N$305,'13_검토이력'!$P$6:$P$305,R171)),1,0))</x:f>
        <x:v>0</x:v>
      </x:c>
      <x:c r="R171" s="36" t="n">
        <x:f>IF(O171=0,0,_xlfn.MAXIFS('13_검토이력'!$P$6:$P$305,'13_검토이력'!$B$6:$B$305,B171,'13_검토이력'!$P$6:$P$305,"&lt;"&amp;P171,'13_검토이력'!$O$6:$O$305,1))</x:f>
        <x:v>0</x:v>
      </x:c>
      <x:c r="S171" s="36" t="n">
        <x:f>IF(A171="",0,IF(OR(H171=TRUE,H171="TRUE",H171="true"),1,0))</x:f>
        <x:v>0</x:v>
      </x:c>
    </x:row>
    <x:row r="172" ht="20" customHeight="1">
      <x:c r="A172" s="22"/>
      <x:c r="B172" s="22"/>
      <x:c r="C172" s="22"/>
      <x:c r="D172" s="28"/>
      <x:c r="E172" s="28"/>
      <x:c r="F172" s="22"/>
      <x:c r="G172" s="22"/>
      <x:c r="H172" s="22"/>
      <x:c r="I172" s="26"/>
      <x:c r="J172" s="22"/>
      <x:c r="K172" s="26"/>
      <x:c r="L172" s="26"/>
      <x:c r="M172" s="28"/>
      <x:c r="N172" s="36" t="n">
        <x:f>IF(A172="",0,IFERROR(MATCH(F172,'17_코드북'!$A$6:$A$14,0)-1,9))</x:f>
        <x:v>0</x:v>
      </x:c>
      <x:c r="O172" s="36" t="n">
        <x:f>IF(A172="",0,IF(AND(D172&lt;='01_설정'!$B$6,E172&lt;='01_설정'!$B$7),1,0))</x:f>
        <x:v>0</x:v>
      </x:c>
      <x:c r="P172" s="36" t="n">
        <x:f>IF(A172="",0,D172*100000+C172)</x:f>
        <x:v>0</x:v>
      </x:c>
      <x:c r="Q172" s="36" t="n">
        <x:f>IF(O172=0,0,IF(OR(R172=0,N172&lt;&gt;SUMIFS('13_검토이력'!$N$6:$N$305,'13_검토이력'!$P$6:$P$305,R172)),1,0))</x:f>
        <x:v>0</x:v>
      </x:c>
      <x:c r="R172" s="36" t="n">
        <x:f>IF(O172=0,0,_xlfn.MAXIFS('13_검토이력'!$P$6:$P$305,'13_검토이력'!$B$6:$B$305,B172,'13_검토이력'!$P$6:$P$305,"&lt;"&amp;P172,'13_검토이력'!$O$6:$O$305,1))</x:f>
        <x:v>0</x:v>
      </x:c>
      <x:c r="S172" s="36" t="n">
        <x:f>IF(A172="",0,IF(OR(H172=TRUE,H172="TRUE",H172="true"),1,0))</x:f>
        <x:v>0</x:v>
      </x:c>
    </x:row>
    <x:row r="173" ht="20" customHeight="1">
      <x:c r="A173" s="22"/>
      <x:c r="B173" s="22"/>
      <x:c r="C173" s="22"/>
      <x:c r="D173" s="28"/>
      <x:c r="E173" s="28"/>
      <x:c r="F173" s="22"/>
      <x:c r="G173" s="22"/>
      <x:c r="H173" s="22"/>
      <x:c r="I173" s="26"/>
      <x:c r="J173" s="22"/>
      <x:c r="K173" s="26"/>
      <x:c r="L173" s="26"/>
      <x:c r="M173" s="28"/>
      <x:c r="N173" s="36" t="n">
        <x:f>IF(A173="",0,IFERROR(MATCH(F173,'17_코드북'!$A$6:$A$14,0)-1,9))</x:f>
        <x:v>0</x:v>
      </x:c>
      <x:c r="O173" s="36" t="n">
        <x:f>IF(A173="",0,IF(AND(D173&lt;='01_설정'!$B$6,E173&lt;='01_설정'!$B$7),1,0))</x:f>
        <x:v>0</x:v>
      </x:c>
      <x:c r="P173" s="36" t="n">
        <x:f>IF(A173="",0,D173*100000+C173)</x:f>
        <x:v>0</x:v>
      </x:c>
      <x:c r="Q173" s="36" t="n">
        <x:f>IF(O173=0,0,IF(OR(R173=0,N173&lt;&gt;SUMIFS('13_검토이력'!$N$6:$N$305,'13_검토이력'!$P$6:$P$305,R173)),1,0))</x:f>
        <x:v>0</x:v>
      </x:c>
      <x:c r="R173" s="36" t="n">
        <x:f>IF(O173=0,0,_xlfn.MAXIFS('13_검토이력'!$P$6:$P$305,'13_검토이력'!$B$6:$B$305,B173,'13_검토이력'!$P$6:$P$305,"&lt;"&amp;P173,'13_검토이력'!$O$6:$O$305,1))</x:f>
        <x:v>0</x:v>
      </x:c>
      <x:c r="S173" s="36" t="n">
        <x:f>IF(A173="",0,IF(OR(H173=TRUE,H173="TRUE",H173="true"),1,0))</x:f>
        <x:v>0</x:v>
      </x:c>
    </x:row>
    <x:row r="174" ht="20" customHeight="1">
      <x:c r="A174" s="22"/>
      <x:c r="B174" s="22"/>
      <x:c r="C174" s="22"/>
      <x:c r="D174" s="28"/>
      <x:c r="E174" s="28"/>
      <x:c r="F174" s="22"/>
      <x:c r="G174" s="22"/>
      <x:c r="H174" s="22"/>
      <x:c r="I174" s="26"/>
      <x:c r="J174" s="22"/>
      <x:c r="K174" s="26"/>
      <x:c r="L174" s="26"/>
      <x:c r="M174" s="28"/>
      <x:c r="N174" s="36" t="n">
        <x:f>IF(A174="",0,IFERROR(MATCH(F174,'17_코드북'!$A$6:$A$14,0)-1,9))</x:f>
        <x:v>0</x:v>
      </x:c>
      <x:c r="O174" s="36" t="n">
        <x:f>IF(A174="",0,IF(AND(D174&lt;='01_설정'!$B$6,E174&lt;='01_설정'!$B$7),1,0))</x:f>
        <x:v>0</x:v>
      </x:c>
      <x:c r="P174" s="36" t="n">
        <x:f>IF(A174="",0,D174*100000+C174)</x:f>
        <x:v>0</x:v>
      </x:c>
      <x:c r="Q174" s="36" t="n">
        <x:f>IF(O174=0,0,IF(OR(R174=0,N174&lt;&gt;SUMIFS('13_검토이력'!$N$6:$N$305,'13_검토이력'!$P$6:$P$305,R174)),1,0))</x:f>
        <x:v>0</x:v>
      </x:c>
      <x:c r="R174" s="36" t="n">
        <x:f>IF(O174=0,0,_xlfn.MAXIFS('13_검토이력'!$P$6:$P$305,'13_검토이력'!$B$6:$B$305,B174,'13_검토이력'!$P$6:$P$305,"&lt;"&amp;P174,'13_검토이력'!$O$6:$O$305,1))</x:f>
        <x:v>0</x:v>
      </x:c>
      <x:c r="S174" s="36" t="n">
        <x:f>IF(A174="",0,IF(OR(H174=TRUE,H174="TRUE",H174="true"),1,0))</x:f>
        <x:v>0</x:v>
      </x:c>
    </x:row>
    <x:row r="175" ht="20" customHeight="1">
      <x:c r="A175" s="22"/>
      <x:c r="B175" s="22"/>
      <x:c r="C175" s="22"/>
      <x:c r="D175" s="28"/>
      <x:c r="E175" s="28"/>
      <x:c r="F175" s="22"/>
      <x:c r="G175" s="22"/>
      <x:c r="H175" s="22"/>
      <x:c r="I175" s="26"/>
      <x:c r="J175" s="22"/>
      <x:c r="K175" s="26"/>
      <x:c r="L175" s="26"/>
      <x:c r="M175" s="28"/>
      <x:c r="N175" s="36" t="n">
        <x:f>IF(A175="",0,IFERROR(MATCH(F175,'17_코드북'!$A$6:$A$14,0)-1,9))</x:f>
        <x:v>0</x:v>
      </x:c>
      <x:c r="O175" s="36" t="n">
        <x:f>IF(A175="",0,IF(AND(D175&lt;='01_설정'!$B$6,E175&lt;='01_설정'!$B$7),1,0))</x:f>
        <x:v>0</x:v>
      </x:c>
      <x:c r="P175" s="36" t="n">
        <x:f>IF(A175="",0,D175*100000+C175)</x:f>
        <x:v>0</x:v>
      </x:c>
      <x:c r="Q175" s="36" t="n">
        <x:f>IF(O175=0,0,IF(OR(R175=0,N175&lt;&gt;SUMIFS('13_검토이력'!$N$6:$N$305,'13_검토이력'!$P$6:$P$305,R175)),1,0))</x:f>
        <x:v>0</x:v>
      </x:c>
      <x:c r="R175" s="36" t="n">
        <x:f>IF(O175=0,0,_xlfn.MAXIFS('13_검토이력'!$P$6:$P$305,'13_검토이력'!$B$6:$B$305,B175,'13_검토이력'!$P$6:$P$305,"&lt;"&amp;P175,'13_검토이력'!$O$6:$O$305,1))</x:f>
        <x:v>0</x:v>
      </x:c>
      <x:c r="S175" s="36" t="n">
        <x:f>IF(A175="",0,IF(OR(H175=TRUE,H175="TRUE",H175="true"),1,0))</x:f>
        <x:v>0</x:v>
      </x:c>
    </x:row>
    <x:row r="176" ht="20" customHeight="1">
      <x:c r="A176" s="22"/>
      <x:c r="B176" s="22"/>
      <x:c r="C176" s="22"/>
      <x:c r="D176" s="28"/>
      <x:c r="E176" s="28"/>
      <x:c r="F176" s="22"/>
      <x:c r="G176" s="22"/>
      <x:c r="H176" s="22"/>
      <x:c r="I176" s="26"/>
      <x:c r="J176" s="22"/>
      <x:c r="K176" s="26"/>
      <x:c r="L176" s="26"/>
      <x:c r="M176" s="28"/>
      <x:c r="N176" s="36" t="n">
        <x:f>IF(A176="",0,IFERROR(MATCH(F176,'17_코드북'!$A$6:$A$14,0)-1,9))</x:f>
        <x:v>0</x:v>
      </x:c>
      <x:c r="O176" s="36" t="n">
        <x:f>IF(A176="",0,IF(AND(D176&lt;='01_설정'!$B$6,E176&lt;='01_설정'!$B$7),1,0))</x:f>
        <x:v>0</x:v>
      </x:c>
      <x:c r="P176" s="36" t="n">
        <x:f>IF(A176="",0,D176*100000+C176)</x:f>
        <x:v>0</x:v>
      </x:c>
      <x:c r="Q176" s="36" t="n">
        <x:f>IF(O176=0,0,IF(OR(R176=0,N176&lt;&gt;SUMIFS('13_검토이력'!$N$6:$N$305,'13_검토이력'!$P$6:$P$305,R176)),1,0))</x:f>
        <x:v>0</x:v>
      </x:c>
      <x:c r="R176" s="36" t="n">
        <x:f>IF(O176=0,0,_xlfn.MAXIFS('13_검토이력'!$P$6:$P$305,'13_검토이력'!$B$6:$B$305,B176,'13_검토이력'!$P$6:$P$305,"&lt;"&amp;P176,'13_검토이력'!$O$6:$O$305,1))</x:f>
        <x:v>0</x:v>
      </x:c>
      <x:c r="S176" s="36" t="n">
        <x:f>IF(A176="",0,IF(OR(H176=TRUE,H176="TRUE",H176="true"),1,0))</x:f>
        <x:v>0</x:v>
      </x:c>
    </x:row>
    <x:row r="177" ht="20" customHeight="1">
      <x:c r="A177" s="22"/>
      <x:c r="B177" s="22"/>
      <x:c r="C177" s="22"/>
      <x:c r="D177" s="28"/>
      <x:c r="E177" s="28"/>
      <x:c r="F177" s="22"/>
      <x:c r="G177" s="22"/>
      <x:c r="H177" s="22"/>
      <x:c r="I177" s="26"/>
      <x:c r="J177" s="22"/>
      <x:c r="K177" s="26"/>
      <x:c r="L177" s="26"/>
      <x:c r="M177" s="28"/>
      <x:c r="N177" s="36" t="n">
        <x:f>IF(A177="",0,IFERROR(MATCH(F177,'17_코드북'!$A$6:$A$14,0)-1,9))</x:f>
        <x:v>0</x:v>
      </x:c>
      <x:c r="O177" s="36" t="n">
        <x:f>IF(A177="",0,IF(AND(D177&lt;='01_설정'!$B$6,E177&lt;='01_설정'!$B$7),1,0))</x:f>
        <x:v>0</x:v>
      </x:c>
      <x:c r="P177" s="36" t="n">
        <x:f>IF(A177="",0,D177*100000+C177)</x:f>
        <x:v>0</x:v>
      </x:c>
      <x:c r="Q177" s="36" t="n">
        <x:f>IF(O177=0,0,IF(OR(R177=0,N177&lt;&gt;SUMIFS('13_검토이력'!$N$6:$N$305,'13_검토이력'!$P$6:$P$305,R177)),1,0))</x:f>
        <x:v>0</x:v>
      </x:c>
      <x:c r="R177" s="36" t="n">
        <x:f>IF(O177=0,0,_xlfn.MAXIFS('13_검토이력'!$P$6:$P$305,'13_검토이력'!$B$6:$B$305,B177,'13_검토이력'!$P$6:$P$305,"&lt;"&amp;P177,'13_검토이력'!$O$6:$O$305,1))</x:f>
        <x:v>0</x:v>
      </x:c>
      <x:c r="S177" s="36" t="n">
        <x:f>IF(A177="",0,IF(OR(H177=TRUE,H177="TRUE",H177="true"),1,0))</x:f>
        <x:v>0</x:v>
      </x:c>
    </x:row>
    <x:row r="178" ht="20" customHeight="1">
      <x:c r="A178" s="22"/>
      <x:c r="B178" s="22"/>
      <x:c r="C178" s="22"/>
      <x:c r="D178" s="28"/>
      <x:c r="E178" s="28"/>
      <x:c r="F178" s="22"/>
      <x:c r="G178" s="22"/>
      <x:c r="H178" s="22"/>
      <x:c r="I178" s="26"/>
      <x:c r="J178" s="22"/>
      <x:c r="K178" s="26"/>
      <x:c r="L178" s="26"/>
      <x:c r="M178" s="28"/>
      <x:c r="N178" s="36" t="n">
        <x:f>IF(A178="",0,IFERROR(MATCH(F178,'17_코드북'!$A$6:$A$14,0)-1,9))</x:f>
        <x:v>0</x:v>
      </x:c>
      <x:c r="O178" s="36" t="n">
        <x:f>IF(A178="",0,IF(AND(D178&lt;='01_설정'!$B$6,E178&lt;='01_설정'!$B$7),1,0))</x:f>
        <x:v>0</x:v>
      </x:c>
      <x:c r="P178" s="36" t="n">
        <x:f>IF(A178="",0,D178*100000+C178)</x:f>
        <x:v>0</x:v>
      </x:c>
      <x:c r="Q178" s="36" t="n">
        <x:f>IF(O178=0,0,IF(OR(R178=0,N178&lt;&gt;SUMIFS('13_검토이력'!$N$6:$N$305,'13_검토이력'!$P$6:$P$305,R178)),1,0))</x:f>
        <x:v>0</x:v>
      </x:c>
      <x:c r="R178" s="36" t="n">
        <x:f>IF(O178=0,0,_xlfn.MAXIFS('13_검토이력'!$P$6:$P$305,'13_검토이력'!$B$6:$B$305,B178,'13_검토이력'!$P$6:$P$305,"&lt;"&amp;P178,'13_검토이력'!$O$6:$O$305,1))</x:f>
        <x:v>0</x:v>
      </x:c>
      <x:c r="S178" s="36" t="n">
        <x:f>IF(A178="",0,IF(OR(H178=TRUE,H178="TRUE",H178="true"),1,0))</x:f>
        <x:v>0</x:v>
      </x:c>
    </x:row>
    <x:row r="179" ht="20" customHeight="1">
      <x:c r="A179" s="22"/>
      <x:c r="B179" s="22"/>
      <x:c r="C179" s="22"/>
      <x:c r="D179" s="28"/>
      <x:c r="E179" s="28"/>
      <x:c r="F179" s="22"/>
      <x:c r="G179" s="22"/>
      <x:c r="H179" s="22"/>
      <x:c r="I179" s="26"/>
      <x:c r="J179" s="22"/>
      <x:c r="K179" s="26"/>
      <x:c r="L179" s="26"/>
      <x:c r="M179" s="28"/>
      <x:c r="N179" s="36" t="n">
        <x:f>IF(A179="",0,IFERROR(MATCH(F179,'17_코드북'!$A$6:$A$14,0)-1,9))</x:f>
        <x:v>0</x:v>
      </x:c>
      <x:c r="O179" s="36" t="n">
        <x:f>IF(A179="",0,IF(AND(D179&lt;='01_설정'!$B$6,E179&lt;='01_설정'!$B$7),1,0))</x:f>
        <x:v>0</x:v>
      </x:c>
      <x:c r="P179" s="36" t="n">
        <x:f>IF(A179="",0,D179*100000+C179)</x:f>
        <x:v>0</x:v>
      </x:c>
      <x:c r="Q179" s="36" t="n">
        <x:f>IF(O179=0,0,IF(OR(R179=0,N179&lt;&gt;SUMIFS('13_검토이력'!$N$6:$N$305,'13_검토이력'!$P$6:$P$305,R179)),1,0))</x:f>
        <x:v>0</x:v>
      </x:c>
      <x:c r="R179" s="36" t="n">
        <x:f>IF(O179=0,0,_xlfn.MAXIFS('13_검토이력'!$P$6:$P$305,'13_검토이력'!$B$6:$B$305,B179,'13_검토이력'!$P$6:$P$305,"&lt;"&amp;P179,'13_검토이력'!$O$6:$O$305,1))</x:f>
        <x:v>0</x:v>
      </x:c>
      <x:c r="S179" s="36" t="n">
        <x:f>IF(A179="",0,IF(OR(H179=TRUE,H179="TRUE",H179="true"),1,0))</x:f>
        <x:v>0</x:v>
      </x:c>
    </x:row>
    <x:row r="180" ht="20" customHeight="1">
      <x:c r="A180" s="22"/>
      <x:c r="B180" s="22"/>
      <x:c r="C180" s="22"/>
      <x:c r="D180" s="28"/>
      <x:c r="E180" s="28"/>
      <x:c r="F180" s="22"/>
      <x:c r="G180" s="22"/>
      <x:c r="H180" s="22"/>
      <x:c r="I180" s="26"/>
      <x:c r="J180" s="22"/>
      <x:c r="K180" s="26"/>
      <x:c r="L180" s="26"/>
      <x:c r="M180" s="28"/>
      <x:c r="N180" s="36" t="n">
        <x:f>IF(A180="",0,IFERROR(MATCH(F180,'17_코드북'!$A$6:$A$14,0)-1,9))</x:f>
        <x:v>0</x:v>
      </x:c>
      <x:c r="O180" s="36" t="n">
        <x:f>IF(A180="",0,IF(AND(D180&lt;='01_설정'!$B$6,E180&lt;='01_설정'!$B$7),1,0))</x:f>
        <x:v>0</x:v>
      </x:c>
      <x:c r="P180" s="36" t="n">
        <x:f>IF(A180="",0,D180*100000+C180)</x:f>
        <x:v>0</x:v>
      </x:c>
      <x:c r="Q180" s="36" t="n">
        <x:f>IF(O180=0,0,IF(OR(R180=0,N180&lt;&gt;SUMIFS('13_검토이력'!$N$6:$N$305,'13_검토이력'!$P$6:$P$305,R180)),1,0))</x:f>
        <x:v>0</x:v>
      </x:c>
      <x:c r="R180" s="36" t="n">
        <x:f>IF(O180=0,0,_xlfn.MAXIFS('13_검토이력'!$P$6:$P$305,'13_검토이력'!$B$6:$B$305,B180,'13_검토이력'!$P$6:$P$305,"&lt;"&amp;P180,'13_검토이력'!$O$6:$O$305,1))</x:f>
        <x:v>0</x:v>
      </x:c>
      <x:c r="S180" s="36" t="n">
        <x:f>IF(A180="",0,IF(OR(H180=TRUE,H180="TRUE",H180="true"),1,0))</x:f>
        <x:v>0</x:v>
      </x:c>
    </x:row>
    <x:row r="181" ht="20" customHeight="1">
      <x:c r="A181" s="22"/>
      <x:c r="B181" s="22"/>
      <x:c r="C181" s="22"/>
      <x:c r="D181" s="28"/>
      <x:c r="E181" s="28"/>
      <x:c r="F181" s="22"/>
      <x:c r="G181" s="22"/>
      <x:c r="H181" s="22"/>
      <x:c r="I181" s="26"/>
      <x:c r="J181" s="22"/>
      <x:c r="K181" s="26"/>
      <x:c r="L181" s="26"/>
      <x:c r="M181" s="28"/>
      <x:c r="N181" s="36" t="n">
        <x:f>IF(A181="",0,IFERROR(MATCH(F181,'17_코드북'!$A$6:$A$14,0)-1,9))</x:f>
        <x:v>0</x:v>
      </x:c>
      <x:c r="O181" s="36" t="n">
        <x:f>IF(A181="",0,IF(AND(D181&lt;='01_설정'!$B$6,E181&lt;='01_설정'!$B$7),1,0))</x:f>
        <x:v>0</x:v>
      </x:c>
      <x:c r="P181" s="36" t="n">
        <x:f>IF(A181="",0,D181*100000+C181)</x:f>
        <x:v>0</x:v>
      </x:c>
      <x:c r="Q181" s="36" t="n">
        <x:f>IF(O181=0,0,IF(OR(R181=0,N181&lt;&gt;SUMIFS('13_검토이력'!$N$6:$N$305,'13_검토이력'!$P$6:$P$305,R181)),1,0))</x:f>
        <x:v>0</x:v>
      </x:c>
      <x:c r="R181" s="36" t="n">
        <x:f>IF(O181=0,0,_xlfn.MAXIFS('13_검토이력'!$P$6:$P$305,'13_검토이력'!$B$6:$B$305,B181,'13_검토이력'!$P$6:$P$305,"&lt;"&amp;P181,'13_검토이력'!$O$6:$O$305,1))</x:f>
        <x:v>0</x:v>
      </x:c>
      <x:c r="S181" s="36" t="n">
        <x:f>IF(A181="",0,IF(OR(H181=TRUE,H181="TRUE",H181="true"),1,0))</x:f>
        <x:v>0</x:v>
      </x:c>
    </x:row>
    <x:row r="182" ht="20" customHeight="1">
      <x:c r="A182" s="22"/>
      <x:c r="B182" s="22"/>
      <x:c r="C182" s="22"/>
      <x:c r="D182" s="28"/>
      <x:c r="E182" s="28"/>
      <x:c r="F182" s="22"/>
      <x:c r="G182" s="22"/>
      <x:c r="H182" s="22"/>
      <x:c r="I182" s="26"/>
      <x:c r="J182" s="22"/>
      <x:c r="K182" s="26"/>
      <x:c r="L182" s="26"/>
      <x:c r="M182" s="28"/>
      <x:c r="N182" s="36" t="n">
        <x:f>IF(A182="",0,IFERROR(MATCH(F182,'17_코드북'!$A$6:$A$14,0)-1,9))</x:f>
        <x:v>0</x:v>
      </x:c>
      <x:c r="O182" s="36" t="n">
        <x:f>IF(A182="",0,IF(AND(D182&lt;='01_설정'!$B$6,E182&lt;='01_설정'!$B$7),1,0))</x:f>
        <x:v>0</x:v>
      </x:c>
      <x:c r="P182" s="36" t="n">
        <x:f>IF(A182="",0,D182*100000+C182)</x:f>
        <x:v>0</x:v>
      </x:c>
      <x:c r="Q182" s="36" t="n">
        <x:f>IF(O182=0,0,IF(OR(R182=0,N182&lt;&gt;SUMIFS('13_검토이력'!$N$6:$N$305,'13_검토이력'!$P$6:$P$305,R182)),1,0))</x:f>
        <x:v>0</x:v>
      </x:c>
      <x:c r="R182" s="36" t="n">
        <x:f>IF(O182=0,0,_xlfn.MAXIFS('13_검토이력'!$P$6:$P$305,'13_검토이력'!$B$6:$B$305,B182,'13_검토이력'!$P$6:$P$305,"&lt;"&amp;P182,'13_검토이력'!$O$6:$O$305,1))</x:f>
        <x:v>0</x:v>
      </x:c>
      <x:c r="S182" s="36" t="n">
        <x:f>IF(A182="",0,IF(OR(H182=TRUE,H182="TRUE",H182="true"),1,0))</x:f>
        <x:v>0</x:v>
      </x:c>
    </x:row>
    <x:row r="183" ht="20" customHeight="1">
      <x:c r="A183" s="22"/>
      <x:c r="B183" s="22"/>
      <x:c r="C183" s="22"/>
      <x:c r="D183" s="28"/>
      <x:c r="E183" s="28"/>
      <x:c r="F183" s="22"/>
      <x:c r="G183" s="22"/>
      <x:c r="H183" s="22"/>
      <x:c r="I183" s="26"/>
      <x:c r="J183" s="22"/>
      <x:c r="K183" s="26"/>
      <x:c r="L183" s="26"/>
      <x:c r="M183" s="28"/>
      <x:c r="N183" s="36" t="n">
        <x:f>IF(A183="",0,IFERROR(MATCH(F183,'17_코드북'!$A$6:$A$14,0)-1,9))</x:f>
        <x:v>0</x:v>
      </x:c>
      <x:c r="O183" s="36" t="n">
        <x:f>IF(A183="",0,IF(AND(D183&lt;='01_설정'!$B$6,E183&lt;='01_설정'!$B$7),1,0))</x:f>
        <x:v>0</x:v>
      </x:c>
      <x:c r="P183" s="36" t="n">
        <x:f>IF(A183="",0,D183*100000+C183)</x:f>
        <x:v>0</x:v>
      </x:c>
      <x:c r="Q183" s="36" t="n">
        <x:f>IF(O183=0,0,IF(OR(R183=0,N183&lt;&gt;SUMIFS('13_검토이력'!$N$6:$N$305,'13_검토이력'!$P$6:$P$305,R183)),1,0))</x:f>
        <x:v>0</x:v>
      </x:c>
      <x:c r="R183" s="36" t="n">
        <x:f>IF(O183=0,0,_xlfn.MAXIFS('13_검토이력'!$P$6:$P$305,'13_검토이력'!$B$6:$B$305,B183,'13_검토이력'!$P$6:$P$305,"&lt;"&amp;P183,'13_검토이력'!$O$6:$O$305,1))</x:f>
        <x:v>0</x:v>
      </x:c>
      <x:c r="S183" s="36" t="n">
        <x:f>IF(A183="",0,IF(OR(H183=TRUE,H183="TRUE",H183="true"),1,0))</x:f>
        <x:v>0</x:v>
      </x:c>
    </x:row>
    <x:row r="184" ht="20" customHeight="1">
      <x:c r="A184" s="22"/>
      <x:c r="B184" s="22"/>
      <x:c r="C184" s="22"/>
      <x:c r="D184" s="28"/>
      <x:c r="E184" s="28"/>
      <x:c r="F184" s="22"/>
      <x:c r="G184" s="22"/>
      <x:c r="H184" s="22"/>
      <x:c r="I184" s="26"/>
      <x:c r="J184" s="22"/>
      <x:c r="K184" s="26"/>
      <x:c r="L184" s="26"/>
      <x:c r="M184" s="28"/>
      <x:c r="N184" s="36" t="n">
        <x:f>IF(A184="",0,IFERROR(MATCH(F184,'17_코드북'!$A$6:$A$14,0)-1,9))</x:f>
        <x:v>0</x:v>
      </x:c>
      <x:c r="O184" s="36" t="n">
        <x:f>IF(A184="",0,IF(AND(D184&lt;='01_설정'!$B$6,E184&lt;='01_설정'!$B$7),1,0))</x:f>
        <x:v>0</x:v>
      </x:c>
      <x:c r="P184" s="36" t="n">
        <x:f>IF(A184="",0,D184*100000+C184)</x:f>
        <x:v>0</x:v>
      </x:c>
      <x:c r="Q184" s="36" t="n">
        <x:f>IF(O184=0,0,IF(OR(R184=0,N184&lt;&gt;SUMIFS('13_검토이력'!$N$6:$N$305,'13_검토이력'!$P$6:$P$305,R184)),1,0))</x:f>
        <x:v>0</x:v>
      </x:c>
      <x:c r="R184" s="36" t="n">
        <x:f>IF(O184=0,0,_xlfn.MAXIFS('13_검토이력'!$P$6:$P$305,'13_검토이력'!$B$6:$B$305,B184,'13_검토이력'!$P$6:$P$305,"&lt;"&amp;P184,'13_검토이력'!$O$6:$O$305,1))</x:f>
        <x:v>0</x:v>
      </x:c>
      <x:c r="S184" s="36" t="n">
        <x:f>IF(A184="",0,IF(OR(H184=TRUE,H184="TRUE",H184="true"),1,0))</x:f>
        <x:v>0</x:v>
      </x:c>
    </x:row>
    <x:row r="185" ht="20" customHeight="1">
      <x:c r="A185" s="22"/>
      <x:c r="B185" s="22"/>
      <x:c r="C185" s="22"/>
      <x:c r="D185" s="28"/>
      <x:c r="E185" s="28"/>
      <x:c r="F185" s="22"/>
      <x:c r="G185" s="22"/>
      <x:c r="H185" s="22"/>
      <x:c r="I185" s="26"/>
      <x:c r="J185" s="22"/>
      <x:c r="K185" s="26"/>
      <x:c r="L185" s="26"/>
      <x:c r="M185" s="28"/>
      <x:c r="N185" s="36" t="n">
        <x:f>IF(A185="",0,IFERROR(MATCH(F185,'17_코드북'!$A$6:$A$14,0)-1,9))</x:f>
        <x:v>0</x:v>
      </x:c>
      <x:c r="O185" s="36" t="n">
        <x:f>IF(A185="",0,IF(AND(D185&lt;='01_설정'!$B$6,E185&lt;='01_설정'!$B$7),1,0))</x:f>
        <x:v>0</x:v>
      </x:c>
      <x:c r="P185" s="36" t="n">
        <x:f>IF(A185="",0,D185*100000+C185)</x:f>
        <x:v>0</x:v>
      </x:c>
      <x:c r="Q185" s="36" t="n">
        <x:f>IF(O185=0,0,IF(OR(R185=0,N185&lt;&gt;SUMIFS('13_검토이력'!$N$6:$N$305,'13_검토이력'!$P$6:$P$305,R185)),1,0))</x:f>
        <x:v>0</x:v>
      </x:c>
      <x:c r="R185" s="36" t="n">
        <x:f>IF(O185=0,0,_xlfn.MAXIFS('13_검토이력'!$P$6:$P$305,'13_검토이력'!$B$6:$B$305,B185,'13_검토이력'!$P$6:$P$305,"&lt;"&amp;P185,'13_검토이력'!$O$6:$O$305,1))</x:f>
        <x:v>0</x:v>
      </x:c>
      <x:c r="S185" s="36" t="n">
        <x:f>IF(A185="",0,IF(OR(H185=TRUE,H185="TRUE",H185="true"),1,0))</x:f>
        <x:v>0</x:v>
      </x:c>
    </x:row>
    <x:row r="186" ht="20" customHeight="1">
      <x:c r="A186" s="22"/>
      <x:c r="B186" s="22"/>
      <x:c r="C186" s="22"/>
      <x:c r="D186" s="28"/>
      <x:c r="E186" s="28"/>
      <x:c r="F186" s="22"/>
      <x:c r="G186" s="22"/>
      <x:c r="H186" s="22"/>
      <x:c r="I186" s="26"/>
      <x:c r="J186" s="22"/>
      <x:c r="K186" s="26"/>
      <x:c r="L186" s="26"/>
      <x:c r="M186" s="28"/>
      <x:c r="N186" s="36" t="n">
        <x:f>IF(A186="",0,IFERROR(MATCH(F186,'17_코드북'!$A$6:$A$14,0)-1,9))</x:f>
        <x:v>0</x:v>
      </x:c>
      <x:c r="O186" s="36" t="n">
        <x:f>IF(A186="",0,IF(AND(D186&lt;='01_설정'!$B$6,E186&lt;='01_설정'!$B$7),1,0))</x:f>
        <x:v>0</x:v>
      </x:c>
      <x:c r="P186" s="36" t="n">
        <x:f>IF(A186="",0,D186*100000+C186)</x:f>
        <x:v>0</x:v>
      </x:c>
      <x:c r="Q186" s="36" t="n">
        <x:f>IF(O186=0,0,IF(OR(R186=0,N186&lt;&gt;SUMIFS('13_검토이력'!$N$6:$N$305,'13_검토이력'!$P$6:$P$305,R186)),1,0))</x:f>
        <x:v>0</x:v>
      </x:c>
      <x:c r="R186" s="36" t="n">
        <x:f>IF(O186=0,0,_xlfn.MAXIFS('13_검토이력'!$P$6:$P$305,'13_검토이력'!$B$6:$B$305,B186,'13_검토이력'!$P$6:$P$305,"&lt;"&amp;P186,'13_검토이력'!$O$6:$O$305,1))</x:f>
        <x:v>0</x:v>
      </x:c>
      <x:c r="S186" s="36" t="n">
        <x:f>IF(A186="",0,IF(OR(H186=TRUE,H186="TRUE",H186="true"),1,0))</x:f>
        <x:v>0</x:v>
      </x:c>
    </x:row>
    <x:row r="187" ht="20" customHeight="1">
      <x:c r="A187" s="22"/>
      <x:c r="B187" s="22"/>
      <x:c r="C187" s="22"/>
      <x:c r="D187" s="28"/>
      <x:c r="E187" s="28"/>
      <x:c r="F187" s="22"/>
      <x:c r="G187" s="22"/>
      <x:c r="H187" s="22"/>
      <x:c r="I187" s="26"/>
      <x:c r="J187" s="22"/>
      <x:c r="K187" s="26"/>
      <x:c r="L187" s="26"/>
      <x:c r="M187" s="28"/>
      <x:c r="N187" s="36" t="n">
        <x:f>IF(A187="",0,IFERROR(MATCH(F187,'17_코드북'!$A$6:$A$14,0)-1,9))</x:f>
        <x:v>0</x:v>
      </x:c>
      <x:c r="O187" s="36" t="n">
        <x:f>IF(A187="",0,IF(AND(D187&lt;='01_설정'!$B$6,E187&lt;='01_설정'!$B$7),1,0))</x:f>
        <x:v>0</x:v>
      </x:c>
      <x:c r="P187" s="36" t="n">
        <x:f>IF(A187="",0,D187*100000+C187)</x:f>
        <x:v>0</x:v>
      </x:c>
      <x:c r="Q187" s="36" t="n">
        <x:f>IF(O187=0,0,IF(OR(R187=0,N187&lt;&gt;SUMIFS('13_검토이력'!$N$6:$N$305,'13_검토이력'!$P$6:$P$305,R187)),1,0))</x:f>
        <x:v>0</x:v>
      </x:c>
      <x:c r="R187" s="36" t="n">
        <x:f>IF(O187=0,0,_xlfn.MAXIFS('13_검토이력'!$P$6:$P$305,'13_검토이력'!$B$6:$B$305,B187,'13_검토이력'!$P$6:$P$305,"&lt;"&amp;P187,'13_검토이력'!$O$6:$O$305,1))</x:f>
        <x:v>0</x:v>
      </x:c>
      <x:c r="S187" s="36" t="n">
        <x:f>IF(A187="",0,IF(OR(H187=TRUE,H187="TRUE",H187="true"),1,0))</x:f>
        <x:v>0</x:v>
      </x:c>
    </x:row>
    <x:row r="188" ht="20" customHeight="1">
      <x:c r="A188" s="22"/>
      <x:c r="B188" s="22"/>
      <x:c r="C188" s="22"/>
      <x:c r="D188" s="28"/>
      <x:c r="E188" s="28"/>
      <x:c r="F188" s="22"/>
      <x:c r="G188" s="22"/>
      <x:c r="H188" s="22"/>
      <x:c r="I188" s="26"/>
      <x:c r="J188" s="22"/>
      <x:c r="K188" s="26"/>
      <x:c r="L188" s="26"/>
      <x:c r="M188" s="28"/>
      <x:c r="N188" s="36" t="n">
        <x:f>IF(A188="",0,IFERROR(MATCH(F188,'17_코드북'!$A$6:$A$14,0)-1,9))</x:f>
        <x:v>0</x:v>
      </x:c>
      <x:c r="O188" s="36" t="n">
        <x:f>IF(A188="",0,IF(AND(D188&lt;='01_설정'!$B$6,E188&lt;='01_설정'!$B$7),1,0))</x:f>
        <x:v>0</x:v>
      </x:c>
      <x:c r="P188" s="36" t="n">
        <x:f>IF(A188="",0,D188*100000+C188)</x:f>
        <x:v>0</x:v>
      </x:c>
      <x:c r="Q188" s="36" t="n">
        <x:f>IF(O188=0,0,IF(OR(R188=0,N188&lt;&gt;SUMIFS('13_검토이력'!$N$6:$N$305,'13_검토이력'!$P$6:$P$305,R188)),1,0))</x:f>
        <x:v>0</x:v>
      </x:c>
      <x:c r="R188" s="36" t="n">
        <x:f>IF(O188=0,0,_xlfn.MAXIFS('13_검토이력'!$P$6:$P$305,'13_검토이력'!$B$6:$B$305,B188,'13_검토이력'!$P$6:$P$305,"&lt;"&amp;P188,'13_검토이력'!$O$6:$O$305,1))</x:f>
        <x:v>0</x:v>
      </x:c>
      <x:c r="S188" s="36" t="n">
        <x:f>IF(A188="",0,IF(OR(H188=TRUE,H188="TRUE",H188="true"),1,0))</x:f>
        <x:v>0</x:v>
      </x:c>
    </x:row>
    <x:row r="189" ht="20" customHeight="1">
      <x:c r="A189" s="22"/>
      <x:c r="B189" s="22"/>
      <x:c r="C189" s="22"/>
      <x:c r="D189" s="28"/>
      <x:c r="E189" s="28"/>
      <x:c r="F189" s="22"/>
      <x:c r="G189" s="22"/>
      <x:c r="H189" s="22"/>
      <x:c r="I189" s="26"/>
      <x:c r="J189" s="22"/>
      <x:c r="K189" s="26"/>
      <x:c r="L189" s="26"/>
      <x:c r="M189" s="28"/>
      <x:c r="N189" s="36" t="n">
        <x:f>IF(A189="",0,IFERROR(MATCH(F189,'17_코드북'!$A$6:$A$14,0)-1,9))</x:f>
        <x:v>0</x:v>
      </x:c>
      <x:c r="O189" s="36" t="n">
        <x:f>IF(A189="",0,IF(AND(D189&lt;='01_설정'!$B$6,E189&lt;='01_설정'!$B$7),1,0))</x:f>
        <x:v>0</x:v>
      </x:c>
      <x:c r="P189" s="36" t="n">
        <x:f>IF(A189="",0,D189*100000+C189)</x:f>
        <x:v>0</x:v>
      </x:c>
      <x:c r="Q189" s="36" t="n">
        <x:f>IF(O189=0,0,IF(OR(R189=0,N189&lt;&gt;SUMIFS('13_검토이력'!$N$6:$N$305,'13_검토이력'!$P$6:$P$305,R189)),1,0))</x:f>
        <x:v>0</x:v>
      </x:c>
      <x:c r="R189" s="36" t="n">
        <x:f>IF(O189=0,0,_xlfn.MAXIFS('13_검토이력'!$P$6:$P$305,'13_검토이력'!$B$6:$B$305,B189,'13_검토이력'!$P$6:$P$305,"&lt;"&amp;P189,'13_검토이력'!$O$6:$O$305,1))</x:f>
        <x:v>0</x:v>
      </x:c>
      <x:c r="S189" s="36" t="n">
        <x:f>IF(A189="",0,IF(OR(H189=TRUE,H189="TRUE",H189="true"),1,0))</x:f>
        <x:v>0</x:v>
      </x:c>
    </x:row>
    <x:row r="190" ht="20" customHeight="1">
      <x:c r="A190" s="22"/>
      <x:c r="B190" s="22"/>
      <x:c r="C190" s="22"/>
      <x:c r="D190" s="28"/>
      <x:c r="E190" s="28"/>
      <x:c r="F190" s="22"/>
      <x:c r="G190" s="22"/>
      <x:c r="H190" s="22"/>
      <x:c r="I190" s="26"/>
      <x:c r="J190" s="22"/>
      <x:c r="K190" s="26"/>
      <x:c r="L190" s="26"/>
      <x:c r="M190" s="28"/>
      <x:c r="N190" s="36" t="n">
        <x:f>IF(A190="",0,IFERROR(MATCH(F190,'17_코드북'!$A$6:$A$14,0)-1,9))</x:f>
        <x:v>0</x:v>
      </x:c>
      <x:c r="O190" s="36" t="n">
        <x:f>IF(A190="",0,IF(AND(D190&lt;='01_설정'!$B$6,E190&lt;='01_설정'!$B$7),1,0))</x:f>
        <x:v>0</x:v>
      </x:c>
      <x:c r="P190" s="36" t="n">
        <x:f>IF(A190="",0,D190*100000+C190)</x:f>
        <x:v>0</x:v>
      </x:c>
      <x:c r="Q190" s="36" t="n">
        <x:f>IF(O190=0,0,IF(OR(R190=0,N190&lt;&gt;SUMIFS('13_검토이력'!$N$6:$N$305,'13_검토이력'!$P$6:$P$305,R190)),1,0))</x:f>
        <x:v>0</x:v>
      </x:c>
      <x:c r="R190" s="36" t="n">
        <x:f>IF(O190=0,0,_xlfn.MAXIFS('13_검토이력'!$P$6:$P$305,'13_검토이력'!$B$6:$B$305,B190,'13_검토이력'!$P$6:$P$305,"&lt;"&amp;P190,'13_검토이력'!$O$6:$O$305,1))</x:f>
        <x:v>0</x:v>
      </x:c>
      <x:c r="S190" s="36" t="n">
        <x:f>IF(A190="",0,IF(OR(H190=TRUE,H190="TRUE",H190="true"),1,0))</x:f>
        <x:v>0</x:v>
      </x:c>
    </x:row>
    <x:row r="191" ht="20" customHeight="1">
      <x:c r="A191" s="22"/>
      <x:c r="B191" s="22"/>
      <x:c r="C191" s="22"/>
      <x:c r="D191" s="28"/>
      <x:c r="E191" s="28"/>
      <x:c r="F191" s="22"/>
      <x:c r="G191" s="22"/>
      <x:c r="H191" s="22"/>
      <x:c r="I191" s="26"/>
      <x:c r="J191" s="22"/>
      <x:c r="K191" s="26"/>
      <x:c r="L191" s="26"/>
      <x:c r="M191" s="28"/>
      <x:c r="N191" s="36" t="n">
        <x:f>IF(A191="",0,IFERROR(MATCH(F191,'17_코드북'!$A$6:$A$14,0)-1,9))</x:f>
        <x:v>0</x:v>
      </x:c>
      <x:c r="O191" s="36" t="n">
        <x:f>IF(A191="",0,IF(AND(D191&lt;='01_설정'!$B$6,E191&lt;='01_설정'!$B$7),1,0))</x:f>
        <x:v>0</x:v>
      </x:c>
      <x:c r="P191" s="36" t="n">
        <x:f>IF(A191="",0,D191*100000+C191)</x:f>
        <x:v>0</x:v>
      </x:c>
      <x:c r="Q191" s="36" t="n">
        <x:f>IF(O191=0,0,IF(OR(R191=0,N191&lt;&gt;SUMIFS('13_검토이력'!$N$6:$N$305,'13_검토이력'!$P$6:$P$305,R191)),1,0))</x:f>
        <x:v>0</x:v>
      </x:c>
      <x:c r="R191" s="36" t="n">
        <x:f>IF(O191=0,0,_xlfn.MAXIFS('13_검토이력'!$P$6:$P$305,'13_검토이력'!$B$6:$B$305,B191,'13_검토이력'!$P$6:$P$305,"&lt;"&amp;P191,'13_검토이력'!$O$6:$O$305,1))</x:f>
        <x:v>0</x:v>
      </x:c>
      <x:c r="S191" s="36" t="n">
        <x:f>IF(A191="",0,IF(OR(H191=TRUE,H191="TRUE",H191="true"),1,0))</x:f>
        <x:v>0</x:v>
      </x:c>
    </x:row>
    <x:row r="192" ht="20" customHeight="1">
      <x:c r="A192" s="22"/>
      <x:c r="B192" s="22"/>
      <x:c r="C192" s="22"/>
      <x:c r="D192" s="28"/>
      <x:c r="E192" s="28"/>
      <x:c r="F192" s="22"/>
      <x:c r="G192" s="22"/>
      <x:c r="H192" s="22"/>
      <x:c r="I192" s="26"/>
      <x:c r="J192" s="22"/>
      <x:c r="K192" s="26"/>
      <x:c r="L192" s="26"/>
      <x:c r="M192" s="28"/>
      <x:c r="N192" s="36" t="n">
        <x:f>IF(A192="",0,IFERROR(MATCH(F192,'17_코드북'!$A$6:$A$14,0)-1,9))</x:f>
        <x:v>0</x:v>
      </x:c>
      <x:c r="O192" s="36" t="n">
        <x:f>IF(A192="",0,IF(AND(D192&lt;='01_설정'!$B$6,E192&lt;='01_설정'!$B$7),1,0))</x:f>
        <x:v>0</x:v>
      </x:c>
      <x:c r="P192" s="36" t="n">
        <x:f>IF(A192="",0,D192*100000+C192)</x:f>
        <x:v>0</x:v>
      </x:c>
      <x:c r="Q192" s="36" t="n">
        <x:f>IF(O192=0,0,IF(OR(R192=0,N192&lt;&gt;SUMIFS('13_검토이력'!$N$6:$N$305,'13_검토이력'!$P$6:$P$305,R192)),1,0))</x:f>
        <x:v>0</x:v>
      </x:c>
      <x:c r="R192" s="36" t="n">
        <x:f>IF(O192=0,0,_xlfn.MAXIFS('13_검토이력'!$P$6:$P$305,'13_검토이력'!$B$6:$B$305,B192,'13_검토이력'!$P$6:$P$305,"&lt;"&amp;P192,'13_검토이력'!$O$6:$O$305,1))</x:f>
        <x:v>0</x:v>
      </x:c>
      <x:c r="S192" s="36" t="n">
        <x:f>IF(A192="",0,IF(OR(H192=TRUE,H192="TRUE",H192="true"),1,0))</x:f>
        <x:v>0</x:v>
      </x:c>
    </x:row>
    <x:row r="193" ht="20" customHeight="1">
      <x:c r="A193" s="22"/>
      <x:c r="B193" s="22"/>
      <x:c r="C193" s="22"/>
      <x:c r="D193" s="28"/>
      <x:c r="E193" s="28"/>
      <x:c r="F193" s="22"/>
      <x:c r="G193" s="22"/>
      <x:c r="H193" s="22"/>
      <x:c r="I193" s="26"/>
      <x:c r="J193" s="22"/>
      <x:c r="K193" s="26"/>
      <x:c r="L193" s="26"/>
      <x:c r="M193" s="28"/>
      <x:c r="N193" s="36" t="n">
        <x:f>IF(A193="",0,IFERROR(MATCH(F193,'17_코드북'!$A$6:$A$14,0)-1,9))</x:f>
        <x:v>0</x:v>
      </x:c>
      <x:c r="O193" s="36" t="n">
        <x:f>IF(A193="",0,IF(AND(D193&lt;='01_설정'!$B$6,E193&lt;='01_설정'!$B$7),1,0))</x:f>
        <x:v>0</x:v>
      </x:c>
      <x:c r="P193" s="36" t="n">
        <x:f>IF(A193="",0,D193*100000+C193)</x:f>
        <x:v>0</x:v>
      </x:c>
      <x:c r="Q193" s="36" t="n">
        <x:f>IF(O193=0,0,IF(OR(R193=0,N193&lt;&gt;SUMIFS('13_검토이력'!$N$6:$N$305,'13_검토이력'!$P$6:$P$305,R193)),1,0))</x:f>
        <x:v>0</x:v>
      </x:c>
      <x:c r="R193" s="36" t="n">
        <x:f>IF(O193=0,0,_xlfn.MAXIFS('13_검토이력'!$P$6:$P$305,'13_검토이력'!$B$6:$B$305,B193,'13_검토이력'!$P$6:$P$305,"&lt;"&amp;P193,'13_검토이력'!$O$6:$O$305,1))</x:f>
        <x:v>0</x:v>
      </x:c>
      <x:c r="S193" s="36" t="n">
        <x:f>IF(A193="",0,IF(OR(H193=TRUE,H193="TRUE",H193="true"),1,0))</x:f>
        <x:v>0</x:v>
      </x:c>
    </x:row>
    <x:row r="194" ht="20" customHeight="1">
      <x:c r="A194" s="22"/>
      <x:c r="B194" s="22"/>
      <x:c r="C194" s="22"/>
      <x:c r="D194" s="28"/>
      <x:c r="E194" s="28"/>
      <x:c r="F194" s="22"/>
      <x:c r="G194" s="22"/>
      <x:c r="H194" s="22"/>
      <x:c r="I194" s="26"/>
      <x:c r="J194" s="22"/>
      <x:c r="K194" s="26"/>
      <x:c r="L194" s="26"/>
      <x:c r="M194" s="28"/>
      <x:c r="N194" s="36" t="n">
        <x:f>IF(A194="",0,IFERROR(MATCH(F194,'17_코드북'!$A$6:$A$14,0)-1,9))</x:f>
        <x:v>0</x:v>
      </x:c>
      <x:c r="O194" s="36" t="n">
        <x:f>IF(A194="",0,IF(AND(D194&lt;='01_설정'!$B$6,E194&lt;='01_설정'!$B$7),1,0))</x:f>
        <x:v>0</x:v>
      </x:c>
      <x:c r="P194" s="36" t="n">
        <x:f>IF(A194="",0,D194*100000+C194)</x:f>
        <x:v>0</x:v>
      </x:c>
      <x:c r="Q194" s="36" t="n">
        <x:f>IF(O194=0,0,IF(OR(R194=0,N194&lt;&gt;SUMIFS('13_검토이력'!$N$6:$N$305,'13_검토이력'!$P$6:$P$305,R194)),1,0))</x:f>
        <x:v>0</x:v>
      </x:c>
      <x:c r="R194" s="36" t="n">
        <x:f>IF(O194=0,0,_xlfn.MAXIFS('13_검토이력'!$P$6:$P$305,'13_검토이력'!$B$6:$B$305,B194,'13_검토이력'!$P$6:$P$305,"&lt;"&amp;P194,'13_검토이력'!$O$6:$O$305,1))</x:f>
        <x:v>0</x:v>
      </x:c>
      <x:c r="S194" s="36" t="n">
        <x:f>IF(A194="",0,IF(OR(H194=TRUE,H194="TRUE",H194="true"),1,0))</x:f>
        <x:v>0</x:v>
      </x:c>
    </x:row>
    <x:row r="195" ht="20" customHeight="1">
      <x:c r="A195" s="22"/>
      <x:c r="B195" s="22"/>
      <x:c r="C195" s="22"/>
      <x:c r="D195" s="28"/>
      <x:c r="E195" s="28"/>
      <x:c r="F195" s="22"/>
      <x:c r="G195" s="22"/>
      <x:c r="H195" s="22"/>
      <x:c r="I195" s="26"/>
      <x:c r="J195" s="22"/>
      <x:c r="K195" s="26"/>
      <x:c r="L195" s="26"/>
      <x:c r="M195" s="28"/>
      <x:c r="N195" s="36" t="n">
        <x:f>IF(A195="",0,IFERROR(MATCH(F195,'17_코드북'!$A$6:$A$14,0)-1,9))</x:f>
        <x:v>0</x:v>
      </x:c>
      <x:c r="O195" s="36" t="n">
        <x:f>IF(A195="",0,IF(AND(D195&lt;='01_설정'!$B$6,E195&lt;='01_설정'!$B$7),1,0))</x:f>
        <x:v>0</x:v>
      </x:c>
      <x:c r="P195" s="36" t="n">
        <x:f>IF(A195="",0,D195*100000+C195)</x:f>
        <x:v>0</x:v>
      </x:c>
      <x:c r="Q195" s="36" t="n">
        <x:f>IF(O195=0,0,IF(OR(R195=0,N195&lt;&gt;SUMIFS('13_검토이력'!$N$6:$N$305,'13_검토이력'!$P$6:$P$305,R195)),1,0))</x:f>
        <x:v>0</x:v>
      </x:c>
      <x:c r="R195" s="36" t="n">
        <x:f>IF(O195=0,0,_xlfn.MAXIFS('13_검토이력'!$P$6:$P$305,'13_검토이력'!$B$6:$B$305,B195,'13_검토이력'!$P$6:$P$305,"&lt;"&amp;P195,'13_검토이력'!$O$6:$O$305,1))</x:f>
        <x:v>0</x:v>
      </x:c>
      <x:c r="S195" s="36" t="n">
        <x:f>IF(A195="",0,IF(OR(H195=TRUE,H195="TRUE",H195="true"),1,0))</x:f>
        <x:v>0</x:v>
      </x:c>
    </x:row>
    <x:row r="196" ht="20" customHeight="1">
      <x:c r="A196" s="22"/>
      <x:c r="B196" s="22"/>
      <x:c r="C196" s="22"/>
      <x:c r="D196" s="28"/>
      <x:c r="E196" s="28"/>
      <x:c r="F196" s="22"/>
      <x:c r="G196" s="22"/>
      <x:c r="H196" s="22"/>
      <x:c r="I196" s="26"/>
      <x:c r="J196" s="22"/>
      <x:c r="K196" s="26"/>
      <x:c r="L196" s="26"/>
      <x:c r="M196" s="28"/>
      <x:c r="N196" s="36" t="n">
        <x:f>IF(A196="",0,IFERROR(MATCH(F196,'17_코드북'!$A$6:$A$14,0)-1,9))</x:f>
        <x:v>0</x:v>
      </x:c>
      <x:c r="O196" s="36" t="n">
        <x:f>IF(A196="",0,IF(AND(D196&lt;='01_설정'!$B$6,E196&lt;='01_설정'!$B$7),1,0))</x:f>
        <x:v>0</x:v>
      </x:c>
      <x:c r="P196" s="36" t="n">
        <x:f>IF(A196="",0,D196*100000+C196)</x:f>
        <x:v>0</x:v>
      </x:c>
      <x:c r="Q196" s="36" t="n">
        <x:f>IF(O196=0,0,IF(OR(R196=0,N196&lt;&gt;SUMIFS('13_검토이력'!$N$6:$N$305,'13_검토이력'!$P$6:$P$305,R196)),1,0))</x:f>
        <x:v>0</x:v>
      </x:c>
      <x:c r="R196" s="36" t="n">
        <x:f>IF(O196=0,0,_xlfn.MAXIFS('13_검토이력'!$P$6:$P$305,'13_검토이력'!$B$6:$B$305,B196,'13_검토이력'!$P$6:$P$305,"&lt;"&amp;P196,'13_검토이력'!$O$6:$O$305,1))</x:f>
        <x:v>0</x:v>
      </x:c>
      <x:c r="S196" s="36" t="n">
        <x:f>IF(A196="",0,IF(OR(H196=TRUE,H196="TRUE",H196="true"),1,0))</x:f>
        <x:v>0</x:v>
      </x:c>
    </x:row>
    <x:row r="197" ht="20" customHeight="1">
      <x:c r="A197" s="22"/>
      <x:c r="B197" s="22"/>
      <x:c r="C197" s="22"/>
      <x:c r="D197" s="28"/>
      <x:c r="E197" s="28"/>
      <x:c r="F197" s="22"/>
      <x:c r="G197" s="22"/>
      <x:c r="H197" s="22"/>
      <x:c r="I197" s="26"/>
      <x:c r="J197" s="22"/>
      <x:c r="K197" s="26"/>
      <x:c r="L197" s="26"/>
      <x:c r="M197" s="28"/>
      <x:c r="N197" s="36" t="n">
        <x:f>IF(A197="",0,IFERROR(MATCH(F197,'17_코드북'!$A$6:$A$14,0)-1,9))</x:f>
        <x:v>0</x:v>
      </x:c>
      <x:c r="O197" s="36" t="n">
        <x:f>IF(A197="",0,IF(AND(D197&lt;='01_설정'!$B$6,E197&lt;='01_설정'!$B$7),1,0))</x:f>
        <x:v>0</x:v>
      </x:c>
      <x:c r="P197" s="36" t="n">
        <x:f>IF(A197="",0,D197*100000+C197)</x:f>
        <x:v>0</x:v>
      </x:c>
      <x:c r="Q197" s="36" t="n">
        <x:f>IF(O197=0,0,IF(OR(R197=0,N197&lt;&gt;SUMIFS('13_검토이력'!$N$6:$N$305,'13_검토이력'!$P$6:$P$305,R197)),1,0))</x:f>
        <x:v>0</x:v>
      </x:c>
      <x:c r="R197" s="36" t="n">
        <x:f>IF(O197=0,0,_xlfn.MAXIFS('13_검토이력'!$P$6:$P$305,'13_검토이력'!$B$6:$B$305,B197,'13_검토이력'!$P$6:$P$305,"&lt;"&amp;P197,'13_검토이력'!$O$6:$O$305,1))</x:f>
        <x:v>0</x:v>
      </x:c>
      <x:c r="S197" s="36" t="n">
        <x:f>IF(A197="",0,IF(OR(H197=TRUE,H197="TRUE",H197="true"),1,0))</x:f>
        <x:v>0</x:v>
      </x:c>
    </x:row>
    <x:row r="198" ht="20" customHeight="1">
      <x:c r="A198" s="22"/>
      <x:c r="B198" s="22"/>
      <x:c r="C198" s="22"/>
      <x:c r="D198" s="28"/>
      <x:c r="E198" s="28"/>
      <x:c r="F198" s="22"/>
      <x:c r="G198" s="22"/>
      <x:c r="H198" s="22"/>
      <x:c r="I198" s="26"/>
      <x:c r="J198" s="22"/>
      <x:c r="K198" s="26"/>
      <x:c r="L198" s="26"/>
      <x:c r="M198" s="28"/>
      <x:c r="N198" s="36" t="n">
        <x:f>IF(A198="",0,IFERROR(MATCH(F198,'17_코드북'!$A$6:$A$14,0)-1,9))</x:f>
        <x:v>0</x:v>
      </x:c>
      <x:c r="O198" s="36" t="n">
        <x:f>IF(A198="",0,IF(AND(D198&lt;='01_설정'!$B$6,E198&lt;='01_설정'!$B$7),1,0))</x:f>
        <x:v>0</x:v>
      </x:c>
      <x:c r="P198" s="36" t="n">
        <x:f>IF(A198="",0,D198*100000+C198)</x:f>
        <x:v>0</x:v>
      </x:c>
      <x:c r="Q198" s="36" t="n">
        <x:f>IF(O198=0,0,IF(OR(R198=0,N198&lt;&gt;SUMIFS('13_검토이력'!$N$6:$N$305,'13_검토이력'!$P$6:$P$305,R198)),1,0))</x:f>
        <x:v>0</x:v>
      </x:c>
      <x:c r="R198" s="36" t="n">
        <x:f>IF(O198=0,0,_xlfn.MAXIFS('13_검토이력'!$P$6:$P$305,'13_검토이력'!$B$6:$B$305,B198,'13_검토이력'!$P$6:$P$305,"&lt;"&amp;P198,'13_검토이력'!$O$6:$O$305,1))</x:f>
        <x:v>0</x:v>
      </x:c>
      <x:c r="S198" s="36" t="n">
        <x:f>IF(A198="",0,IF(OR(H198=TRUE,H198="TRUE",H198="true"),1,0))</x:f>
        <x:v>0</x:v>
      </x:c>
    </x:row>
    <x:row r="199" ht="20" customHeight="1">
      <x:c r="A199" s="22"/>
      <x:c r="B199" s="22"/>
      <x:c r="C199" s="22"/>
      <x:c r="D199" s="28"/>
      <x:c r="E199" s="28"/>
      <x:c r="F199" s="22"/>
      <x:c r="G199" s="22"/>
      <x:c r="H199" s="22"/>
      <x:c r="I199" s="26"/>
      <x:c r="J199" s="22"/>
      <x:c r="K199" s="26"/>
      <x:c r="L199" s="26"/>
      <x:c r="M199" s="28"/>
      <x:c r="N199" s="36" t="n">
        <x:f>IF(A199="",0,IFERROR(MATCH(F199,'17_코드북'!$A$6:$A$14,0)-1,9))</x:f>
        <x:v>0</x:v>
      </x:c>
      <x:c r="O199" s="36" t="n">
        <x:f>IF(A199="",0,IF(AND(D199&lt;='01_설정'!$B$6,E199&lt;='01_설정'!$B$7),1,0))</x:f>
        <x:v>0</x:v>
      </x:c>
      <x:c r="P199" s="36" t="n">
        <x:f>IF(A199="",0,D199*100000+C199)</x:f>
        <x:v>0</x:v>
      </x:c>
      <x:c r="Q199" s="36" t="n">
        <x:f>IF(O199=0,0,IF(OR(R199=0,N199&lt;&gt;SUMIFS('13_검토이력'!$N$6:$N$305,'13_검토이력'!$P$6:$P$305,R199)),1,0))</x:f>
        <x:v>0</x:v>
      </x:c>
      <x:c r="R199" s="36" t="n">
        <x:f>IF(O199=0,0,_xlfn.MAXIFS('13_검토이력'!$P$6:$P$305,'13_검토이력'!$B$6:$B$305,B199,'13_검토이력'!$P$6:$P$305,"&lt;"&amp;P199,'13_검토이력'!$O$6:$O$305,1))</x:f>
        <x:v>0</x:v>
      </x:c>
      <x:c r="S199" s="36" t="n">
        <x:f>IF(A199="",0,IF(OR(H199=TRUE,H199="TRUE",H199="true"),1,0))</x:f>
        <x:v>0</x:v>
      </x:c>
    </x:row>
    <x:row r="200" ht="20" customHeight="1">
      <x:c r="A200" s="22"/>
      <x:c r="B200" s="22"/>
      <x:c r="C200" s="22"/>
      <x:c r="D200" s="28"/>
      <x:c r="E200" s="28"/>
      <x:c r="F200" s="22"/>
      <x:c r="G200" s="22"/>
      <x:c r="H200" s="22"/>
      <x:c r="I200" s="26"/>
      <x:c r="J200" s="22"/>
      <x:c r="K200" s="26"/>
      <x:c r="L200" s="26"/>
      <x:c r="M200" s="28"/>
      <x:c r="N200" s="36" t="n">
        <x:f>IF(A200="",0,IFERROR(MATCH(F200,'17_코드북'!$A$6:$A$14,0)-1,9))</x:f>
        <x:v>0</x:v>
      </x:c>
      <x:c r="O200" s="36" t="n">
        <x:f>IF(A200="",0,IF(AND(D200&lt;='01_설정'!$B$6,E200&lt;='01_설정'!$B$7),1,0))</x:f>
        <x:v>0</x:v>
      </x:c>
      <x:c r="P200" s="36" t="n">
        <x:f>IF(A200="",0,D200*100000+C200)</x:f>
        <x:v>0</x:v>
      </x:c>
      <x:c r="Q200" s="36" t="n">
        <x:f>IF(O200=0,0,IF(OR(R200=0,N200&lt;&gt;SUMIFS('13_검토이력'!$N$6:$N$305,'13_검토이력'!$P$6:$P$305,R200)),1,0))</x:f>
        <x:v>0</x:v>
      </x:c>
      <x:c r="R200" s="36" t="n">
        <x:f>IF(O200=0,0,_xlfn.MAXIFS('13_검토이력'!$P$6:$P$305,'13_검토이력'!$B$6:$B$305,B200,'13_검토이력'!$P$6:$P$305,"&lt;"&amp;P200,'13_검토이력'!$O$6:$O$305,1))</x:f>
        <x:v>0</x:v>
      </x:c>
      <x:c r="S200" s="36" t="n">
        <x:f>IF(A200="",0,IF(OR(H200=TRUE,H200="TRUE",H200="true"),1,0))</x:f>
        <x:v>0</x:v>
      </x:c>
    </x:row>
    <x:row r="201" ht="20" customHeight="1">
      <x:c r="A201" s="22"/>
      <x:c r="B201" s="22"/>
      <x:c r="C201" s="22"/>
      <x:c r="D201" s="28"/>
      <x:c r="E201" s="28"/>
      <x:c r="F201" s="22"/>
      <x:c r="G201" s="22"/>
      <x:c r="H201" s="22"/>
      <x:c r="I201" s="26"/>
      <x:c r="J201" s="22"/>
      <x:c r="K201" s="26"/>
      <x:c r="L201" s="26"/>
      <x:c r="M201" s="28"/>
      <x:c r="N201" s="36" t="n">
        <x:f>IF(A201="",0,IFERROR(MATCH(F201,'17_코드북'!$A$6:$A$14,0)-1,9))</x:f>
        <x:v>0</x:v>
      </x:c>
      <x:c r="O201" s="36" t="n">
        <x:f>IF(A201="",0,IF(AND(D201&lt;='01_설정'!$B$6,E201&lt;='01_설정'!$B$7),1,0))</x:f>
        <x:v>0</x:v>
      </x:c>
      <x:c r="P201" s="36" t="n">
        <x:f>IF(A201="",0,D201*100000+C201)</x:f>
        <x:v>0</x:v>
      </x:c>
      <x:c r="Q201" s="36" t="n">
        <x:f>IF(O201=0,0,IF(OR(R201=0,N201&lt;&gt;SUMIFS('13_검토이력'!$N$6:$N$305,'13_검토이력'!$P$6:$P$305,R201)),1,0))</x:f>
        <x:v>0</x:v>
      </x:c>
      <x:c r="R201" s="36" t="n">
        <x:f>IF(O201=0,0,_xlfn.MAXIFS('13_검토이력'!$P$6:$P$305,'13_검토이력'!$B$6:$B$305,B201,'13_검토이력'!$P$6:$P$305,"&lt;"&amp;P201,'13_검토이력'!$O$6:$O$305,1))</x:f>
        <x:v>0</x:v>
      </x:c>
      <x:c r="S201" s="36" t="n">
        <x:f>IF(A201="",0,IF(OR(H201=TRUE,H201="TRUE",H201="true"),1,0))</x:f>
        <x:v>0</x:v>
      </x:c>
    </x:row>
    <x:row r="202" ht="20" customHeight="1">
      <x:c r="A202" s="22"/>
      <x:c r="B202" s="22"/>
      <x:c r="C202" s="22"/>
      <x:c r="D202" s="28"/>
      <x:c r="E202" s="28"/>
      <x:c r="F202" s="22"/>
      <x:c r="G202" s="22"/>
      <x:c r="H202" s="22"/>
      <x:c r="I202" s="26"/>
      <x:c r="J202" s="22"/>
      <x:c r="K202" s="26"/>
      <x:c r="L202" s="26"/>
      <x:c r="M202" s="28"/>
      <x:c r="N202" s="36" t="n">
        <x:f>IF(A202="",0,IFERROR(MATCH(F202,'17_코드북'!$A$6:$A$14,0)-1,9))</x:f>
        <x:v>0</x:v>
      </x:c>
      <x:c r="O202" s="36" t="n">
        <x:f>IF(A202="",0,IF(AND(D202&lt;='01_설정'!$B$6,E202&lt;='01_설정'!$B$7),1,0))</x:f>
        <x:v>0</x:v>
      </x:c>
      <x:c r="P202" s="36" t="n">
        <x:f>IF(A202="",0,D202*100000+C202)</x:f>
        <x:v>0</x:v>
      </x:c>
      <x:c r="Q202" s="36" t="n">
        <x:f>IF(O202=0,0,IF(OR(R202=0,N202&lt;&gt;SUMIFS('13_검토이력'!$N$6:$N$305,'13_검토이력'!$P$6:$P$305,R202)),1,0))</x:f>
        <x:v>0</x:v>
      </x:c>
      <x:c r="R202" s="36" t="n">
        <x:f>IF(O202=0,0,_xlfn.MAXIFS('13_검토이력'!$P$6:$P$305,'13_검토이력'!$B$6:$B$305,B202,'13_검토이력'!$P$6:$P$305,"&lt;"&amp;P202,'13_검토이력'!$O$6:$O$305,1))</x:f>
        <x:v>0</x:v>
      </x:c>
      <x:c r="S202" s="36" t="n">
        <x:f>IF(A202="",0,IF(OR(H202=TRUE,H202="TRUE",H202="true"),1,0))</x:f>
        <x:v>0</x:v>
      </x:c>
    </x:row>
    <x:row r="203" ht="20" customHeight="1">
      <x:c r="A203" s="22"/>
      <x:c r="B203" s="22"/>
      <x:c r="C203" s="22"/>
      <x:c r="D203" s="28"/>
      <x:c r="E203" s="28"/>
      <x:c r="F203" s="22"/>
      <x:c r="G203" s="22"/>
      <x:c r="H203" s="22"/>
      <x:c r="I203" s="26"/>
      <x:c r="J203" s="22"/>
      <x:c r="K203" s="26"/>
      <x:c r="L203" s="26"/>
      <x:c r="M203" s="28"/>
      <x:c r="N203" s="36" t="n">
        <x:f>IF(A203="",0,IFERROR(MATCH(F203,'17_코드북'!$A$6:$A$14,0)-1,9))</x:f>
        <x:v>0</x:v>
      </x:c>
      <x:c r="O203" s="36" t="n">
        <x:f>IF(A203="",0,IF(AND(D203&lt;='01_설정'!$B$6,E203&lt;='01_설정'!$B$7),1,0))</x:f>
        <x:v>0</x:v>
      </x:c>
      <x:c r="P203" s="36" t="n">
        <x:f>IF(A203="",0,D203*100000+C203)</x:f>
        <x:v>0</x:v>
      </x:c>
      <x:c r="Q203" s="36" t="n">
        <x:f>IF(O203=0,0,IF(OR(R203=0,N203&lt;&gt;SUMIFS('13_검토이력'!$N$6:$N$305,'13_검토이력'!$P$6:$P$305,R203)),1,0))</x:f>
        <x:v>0</x:v>
      </x:c>
      <x:c r="R203" s="36" t="n">
        <x:f>IF(O203=0,0,_xlfn.MAXIFS('13_검토이력'!$P$6:$P$305,'13_검토이력'!$B$6:$B$305,B203,'13_검토이력'!$P$6:$P$305,"&lt;"&amp;P203,'13_검토이력'!$O$6:$O$305,1))</x:f>
        <x:v>0</x:v>
      </x:c>
      <x:c r="S203" s="36" t="n">
        <x:f>IF(A203="",0,IF(OR(H203=TRUE,H203="TRUE",H203="true"),1,0))</x:f>
        <x:v>0</x:v>
      </x:c>
    </x:row>
    <x:row r="204" ht="20" customHeight="1">
      <x:c r="A204" s="22"/>
      <x:c r="B204" s="22"/>
      <x:c r="C204" s="22"/>
      <x:c r="D204" s="28"/>
      <x:c r="E204" s="28"/>
      <x:c r="F204" s="22"/>
      <x:c r="G204" s="22"/>
      <x:c r="H204" s="22"/>
      <x:c r="I204" s="26"/>
      <x:c r="J204" s="22"/>
      <x:c r="K204" s="26"/>
      <x:c r="L204" s="26"/>
      <x:c r="M204" s="28"/>
      <x:c r="N204" s="36" t="n">
        <x:f>IF(A204="",0,IFERROR(MATCH(F204,'17_코드북'!$A$6:$A$14,0)-1,9))</x:f>
        <x:v>0</x:v>
      </x:c>
      <x:c r="O204" s="36" t="n">
        <x:f>IF(A204="",0,IF(AND(D204&lt;='01_설정'!$B$6,E204&lt;='01_설정'!$B$7),1,0))</x:f>
        <x:v>0</x:v>
      </x:c>
      <x:c r="P204" s="36" t="n">
        <x:f>IF(A204="",0,D204*100000+C204)</x:f>
        <x:v>0</x:v>
      </x:c>
      <x:c r="Q204" s="36" t="n">
        <x:f>IF(O204=0,0,IF(OR(R204=0,N204&lt;&gt;SUMIFS('13_검토이력'!$N$6:$N$305,'13_검토이력'!$P$6:$P$305,R204)),1,0))</x:f>
        <x:v>0</x:v>
      </x:c>
      <x:c r="R204" s="36" t="n">
        <x:f>IF(O204=0,0,_xlfn.MAXIFS('13_검토이력'!$P$6:$P$305,'13_검토이력'!$B$6:$B$305,B204,'13_검토이력'!$P$6:$P$305,"&lt;"&amp;P204,'13_검토이력'!$O$6:$O$305,1))</x:f>
        <x:v>0</x:v>
      </x:c>
      <x:c r="S204" s="36" t="n">
        <x:f>IF(A204="",0,IF(OR(H204=TRUE,H204="TRUE",H204="true"),1,0))</x:f>
        <x:v>0</x:v>
      </x:c>
    </x:row>
    <x:row r="205" ht="20" customHeight="1">
      <x:c r="A205" s="22"/>
      <x:c r="B205" s="22"/>
      <x:c r="C205" s="22"/>
      <x:c r="D205" s="28"/>
      <x:c r="E205" s="28"/>
      <x:c r="F205" s="22"/>
      <x:c r="G205" s="22"/>
      <x:c r="H205" s="22"/>
      <x:c r="I205" s="26"/>
      <x:c r="J205" s="22"/>
      <x:c r="K205" s="26"/>
      <x:c r="L205" s="26"/>
      <x:c r="M205" s="28"/>
      <x:c r="N205" s="36" t="n">
        <x:f>IF(A205="",0,IFERROR(MATCH(F205,'17_코드북'!$A$6:$A$14,0)-1,9))</x:f>
        <x:v>0</x:v>
      </x:c>
      <x:c r="O205" s="36" t="n">
        <x:f>IF(A205="",0,IF(AND(D205&lt;='01_설정'!$B$6,E205&lt;='01_설정'!$B$7),1,0))</x:f>
        <x:v>0</x:v>
      </x:c>
      <x:c r="P205" s="36" t="n">
        <x:f>IF(A205="",0,D205*100000+C205)</x:f>
        <x:v>0</x:v>
      </x:c>
      <x:c r="Q205" s="36" t="n">
        <x:f>IF(O205=0,0,IF(OR(R205=0,N205&lt;&gt;SUMIFS('13_검토이력'!$N$6:$N$305,'13_검토이력'!$P$6:$P$305,R205)),1,0))</x:f>
        <x:v>0</x:v>
      </x:c>
      <x:c r="R205" s="36" t="n">
        <x:f>IF(O205=0,0,_xlfn.MAXIFS('13_검토이력'!$P$6:$P$305,'13_검토이력'!$B$6:$B$305,B205,'13_검토이력'!$P$6:$P$305,"&lt;"&amp;P205,'13_검토이력'!$O$6:$O$305,1))</x:f>
        <x:v>0</x:v>
      </x:c>
      <x:c r="S205" s="36" t="n">
        <x:f>IF(A205="",0,IF(OR(H205=TRUE,H205="TRUE",H205="true"),1,0))</x:f>
        <x:v>0</x:v>
      </x:c>
    </x:row>
    <x:row r="206" ht="20" customHeight="1">
      <x:c r="A206" s="22"/>
      <x:c r="B206" s="22"/>
      <x:c r="C206" s="22"/>
      <x:c r="D206" s="28"/>
      <x:c r="E206" s="28"/>
      <x:c r="F206" s="22"/>
      <x:c r="G206" s="22"/>
      <x:c r="H206" s="22"/>
      <x:c r="I206" s="26"/>
      <x:c r="J206" s="22"/>
      <x:c r="K206" s="26"/>
      <x:c r="L206" s="26"/>
      <x:c r="M206" s="28"/>
      <x:c r="N206" s="36" t="n">
        <x:f>IF(A206="",0,IFERROR(MATCH(F206,'17_코드북'!$A$6:$A$14,0)-1,9))</x:f>
        <x:v>0</x:v>
      </x:c>
      <x:c r="O206" s="36" t="n">
        <x:f>IF(A206="",0,IF(AND(D206&lt;='01_설정'!$B$6,E206&lt;='01_설정'!$B$7),1,0))</x:f>
        <x:v>0</x:v>
      </x:c>
      <x:c r="P206" s="36" t="n">
        <x:f>IF(A206="",0,D206*100000+C206)</x:f>
        <x:v>0</x:v>
      </x:c>
      <x:c r="Q206" s="36" t="n">
        <x:f>IF(O206=0,0,IF(OR(R206=0,N206&lt;&gt;SUMIFS('13_검토이력'!$N$6:$N$305,'13_검토이력'!$P$6:$P$305,R206)),1,0))</x:f>
        <x:v>0</x:v>
      </x:c>
      <x:c r="R206" s="36" t="n">
        <x:f>IF(O206=0,0,_xlfn.MAXIFS('13_검토이력'!$P$6:$P$305,'13_검토이력'!$B$6:$B$305,B206,'13_검토이력'!$P$6:$P$305,"&lt;"&amp;P206,'13_검토이력'!$O$6:$O$305,1))</x:f>
        <x:v>0</x:v>
      </x:c>
      <x:c r="S206" s="36" t="n">
        <x:f>IF(A206="",0,IF(OR(H206=TRUE,H206="TRUE",H206="true"),1,0))</x:f>
        <x:v>0</x:v>
      </x:c>
    </x:row>
    <x:row r="207" ht="20" customHeight="1">
      <x:c r="A207" s="22"/>
      <x:c r="B207" s="22"/>
      <x:c r="C207" s="22"/>
      <x:c r="D207" s="28"/>
      <x:c r="E207" s="28"/>
      <x:c r="F207" s="22"/>
      <x:c r="G207" s="22"/>
      <x:c r="H207" s="22"/>
      <x:c r="I207" s="26"/>
      <x:c r="J207" s="22"/>
      <x:c r="K207" s="26"/>
      <x:c r="L207" s="26"/>
      <x:c r="M207" s="28"/>
      <x:c r="N207" s="36" t="n">
        <x:f>IF(A207="",0,IFERROR(MATCH(F207,'17_코드북'!$A$6:$A$14,0)-1,9))</x:f>
        <x:v>0</x:v>
      </x:c>
      <x:c r="O207" s="36" t="n">
        <x:f>IF(A207="",0,IF(AND(D207&lt;='01_설정'!$B$6,E207&lt;='01_설정'!$B$7),1,0))</x:f>
        <x:v>0</x:v>
      </x:c>
      <x:c r="P207" s="36" t="n">
        <x:f>IF(A207="",0,D207*100000+C207)</x:f>
        <x:v>0</x:v>
      </x:c>
      <x:c r="Q207" s="36" t="n">
        <x:f>IF(O207=0,0,IF(OR(R207=0,N207&lt;&gt;SUMIFS('13_검토이력'!$N$6:$N$305,'13_검토이력'!$P$6:$P$305,R207)),1,0))</x:f>
        <x:v>0</x:v>
      </x:c>
      <x:c r="R207" s="36" t="n">
        <x:f>IF(O207=0,0,_xlfn.MAXIFS('13_검토이력'!$P$6:$P$305,'13_검토이력'!$B$6:$B$305,B207,'13_검토이력'!$P$6:$P$305,"&lt;"&amp;P207,'13_검토이력'!$O$6:$O$305,1))</x:f>
        <x:v>0</x:v>
      </x:c>
      <x:c r="S207" s="36" t="n">
        <x:f>IF(A207="",0,IF(OR(H207=TRUE,H207="TRUE",H207="true"),1,0))</x:f>
        <x:v>0</x:v>
      </x:c>
    </x:row>
    <x:row r="208" ht="20" customHeight="1">
      <x:c r="A208" s="22"/>
      <x:c r="B208" s="22"/>
      <x:c r="C208" s="22"/>
      <x:c r="D208" s="28"/>
      <x:c r="E208" s="28"/>
      <x:c r="F208" s="22"/>
      <x:c r="G208" s="22"/>
      <x:c r="H208" s="22"/>
      <x:c r="I208" s="26"/>
      <x:c r="J208" s="22"/>
      <x:c r="K208" s="26"/>
      <x:c r="L208" s="26"/>
      <x:c r="M208" s="28"/>
      <x:c r="N208" s="36" t="n">
        <x:f>IF(A208="",0,IFERROR(MATCH(F208,'17_코드북'!$A$6:$A$14,0)-1,9))</x:f>
        <x:v>0</x:v>
      </x:c>
      <x:c r="O208" s="36" t="n">
        <x:f>IF(A208="",0,IF(AND(D208&lt;='01_설정'!$B$6,E208&lt;='01_설정'!$B$7),1,0))</x:f>
        <x:v>0</x:v>
      </x:c>
      <x:c r="P208" s="36" t="n">
        <x:f>IF(A208="",0,D208*100000+C208)</x:f>
        <x:v>0</x:v>
      </x:c>
      <x:c r="Q208" s="36" t="n">
        <x:f>IF(O208=0,0,IF(OR(R208=0,N208&lt;&gt;SUMIFS('13_검토이력'!$N$6:$N$305,'13_검토이력'!$P$6:$P$305,R208)),1,0))</x:f>
        <x:v>0</x:v>
      </x:c>
      <x:c r="R208" s="36" t="n">
        <x:f>IF(O208=0,0,_xlfn.MAXIFS('13_검토이력'!$P$6:$P$305,'13_검토이력'!$B$6:$B$305,B208,'13_검토이력'!$P$6:$P$305,"&lt;"&amp;P208,'13_검토이력'!$O$6:$O$305,1))</x:f>
        <x:v>0</x:v>
      </x:c>
      <x:c r="S208" s="36" t="n">
        <x:f>IF(A208="",0,IF(OR(H208=TRUE,H208="TRUE",H208="true"),1,0))</x:f>
        <x:v>0</x:v>
      </x:c>
    </x:row>
    <x:row r="209" ht="20" customHeight="1">
      <x:c r="A209" s="22"/>
      <x:c r="B209" s="22"/>
      <x:c r="C209" s="22"/>
      <x:c r="D209" s="28"/>
      <x:c r="E209" s="28"/>
      <x:c r="F209" s="22"/>
      <x:c r="G209" s="22"/>
      <x:c r="H209" s="22"/>
      <x:c r="I209" s="26"/>
      <x:c r="J209" s="22"/>
      <x:c r="K209" s="26"/>
      <x:c r="L209" s="26"/>
      <x:c r="M209" s="28"/>
      <x:c r="N209" s="36" t="n">
        <x:f>IF(A209="",0,IFERROR(MATCH(F209,'17_코드북'!$A$6:$A$14,0)-1,9))</x:f>
        <x:v>0</x:v>
      </x:c>
      <x:c r="O209" s="36" t="n">
        <x:f>IF(A209="",0,IF(AND(D209&lt;='01_설정'!$B$6,E209&lt;='01_설정'!$B$7),1,0))</x:f>
        <x:v>0</x:v>
      </x:c>
      <x:c r="P209" s="36" t="n">
        <x:f>IF(A209="",0,D209*100000+C209)</x:f>
        <x:v>0</x:v>
      </x:c>
      <x:c r="Q209" s="36" t="n">
        <x:f>IF(O209=0,0,IF(OR(R209=0,N209&lt;&gt;SUMIFS('13_검토이력'!$N$6:$N$305,'13_검토이력'!$P$6:$P$305,R209)),1,0))</x:f>
        <x:v>0</x:v>
      </x:c>
      <x:c r="R209" s="36" t="n">
        <x:f>IF(O209=0,0,_xlfn.MAXIFS('13_검토이력'!$P$6:$P$305,'13_검토이력'!$B$6:$B$305,B209,'13_검토이력'!$P$6:$P$305,"&lt;"&amp;P209,'13_검토이력'!$O$6:$O$305,1))</x:f>
        <x:v>0</x:v>
      </x:c>
      <x:c r="S209" s="36" t="n">
        <x:f>IF(A209="",0,IF(OR(H209=TRUE,H209="TRUE",H209="true"),1,0))</x:f>
        <x:v>0</x:v>
      </x:c>
    </x:row>
    <x:row r="210" ht="20" customHeight="1">
      <x:c r="A210" s="22"/>
      <x:c r="B210" s="22"/>
      <x:c r="C210" s="22"/>
      <x:c r="D210" s="28"/>
      <x:c r="E210" s="28"/>
      <x:c r="F210" s="22"/>
      <x:c r="G210" s="22"/>
      <x:c r="H210" s="22"/>
      <x:c r="I210" s="26"/>
      <x:c r="J210" s="22"/>
      <x:c r="K210" s="26"/>
      <x:c r="L210" s="26"/>
      <x:c r="M210" s="28"/>
      <x:c r="N210" s="36" t="n">
        <x:f>IF(A210="",0,IFERROR(MATCH(F210,'17_코드북'!$A$6:$A$14,0)-1,9))</x:f>
        <x:v>0</x:v>
      </x:c>
      <x:c r="O210" s="36" t="n">
        <x:f>IF(A210="",0,IF(AND(D210&lt;='01_설정'!$B$6,E210&lt;='01_설정'!$B$7),1,0))</x:f>
        <x:v>0</x:v>
      </x:c>
      <x:c r="P210" s="36" t="n">
        <x:f>IF(A210="",0,D210*100000+C210)</x:f>
        <x:v>0</x:v>
      </x:c>
      <x:c r="Q210" s="36" t="n">
        <x:f>IF(O210=0,0,IF(OR(R210=0,N210&lt;&gt;SUMIFS('13_검토이력'!$N$6:$N$305,'13_검토이력'!$P$6:$P$305,R210)),1,0))</x:f>
        <x:v>0</x:v>
      </x:c>
      <x:c r="R210" s="36" t="n">
        <x:f>IF(O210=0,0,_xlfn.MAXIFS('13_검토이력'!$P$6:$P$305,'13_검토이력'!$B$6:$B$305,B210,'13_검토이력'!$P$6:$P$305,"&lt;"&amp;P210,'13_검토이력'!$O$6:$O$305,1))</x:f>
        <x:v>0</x:v>
      </x:c>
      <x:c r="S210" s="36" t="n">
        <x:f>IF(A210="",0,IF(OR(H210=TRUE,H210="TRUE",H210="true"),1,0))</x:f>
        <x:v>0</x:v>
      </x:c>
    </x:row>
    <x:row r="211" ht="20" customHeight="1">
      <x:c r="A211" s="22"/>
      <x:c r="B211" s="22"/>
      <x:c r="C211" s="22"/>
      <x:c r="D211" s="28"/>
      <x:c r="E211" s="28"/>
      <x:c r="F211" s="22"/>
      <x:c r="G211" s="22"/>
      <x:c r="H211" s="22"/>
      <x:c r="I211" s="26"/>
      <x:c r="J211" s="22"/>
      <x:c r="K211" s="26"/>
      <x:c r="L211" s="26"/>
      <x:c r="M211" s="28"/>
      <x:c r="N211" s="36" t="n">
        <x:f>IF(A211="",0,IFERROR(MATCH(F211,'17_코드북'!$A$6:$A$14,0)-1,9))</x:f>
        <x:v>0</x:v>
      </x:c>
      <x:c r="O211" s="36" t="n">
        <x:f>IF(A211="",0,IF(AND(D211&lt;='01_설정'!$B$6,E211&lt;='01_설정'!$B$7),1,0))</x:f>
        <x:v>0</x:v>
      </x:c>
      <x:c r="P211" s="36" t="n">
        <x:f>IF(A211="",0,D211*100000+C211)</x:f>
        <x:v>0</x:v>
      </x:c>
      <x:c r="Q211" s="36" t="n">
        <x:f>IF(O211=0,0,IF(OR(R211=0,N211&lt;&gt;SUMIFS('13_검토이력'!$N$6:$N$305,'13_검토이력'!$P$6:$P$305,R211)),1,0))</x:f>
        <x:v>0</x:v>
      </x:c>
      <x:c r="R211" s="36" t="n">
        <x:f>IF(O211=0,0,_xlfn.MAXIFS('13_검토이력'!$P$6:$P$305,'13_검토이력'!$B$6:$B$305,B211,'13_검토이력'!$P$6:$P$305,"&lt;"&amp;P211,'13_검토이력'!$O$6:$O$305,1))</x:f>
        <x:v>0</x:v>
      </x:c>
      <x:c r="S211" s="36" t="n">
        <x:f>IF(A211="",0,IF(OR(H211=TRUE,H211="TRUE",H211="true"),1,0))</x:f>
        <x:v>0</x:v>
      </x:c>
    </x:row>
    <x:row r="212" ht="20" customHeight="1">
      <x:c r="A212" s="22"/>
      <x:c r="B212" s="22"/>
      <x:c r="C212" s="22"/>
      <x:c r="D212" s="28"/>
      <x:c r="E212" s="28"/>
      <x:c r="F212" s="22"/>
      <x:c r="G212" s="22"/>
      <x:c r="H212" s="22"/>
      <x:c r="I212" s="26"/>
      <x:c r="J212" s="22"/>
      <x:c r="K212" s="26"/>
      <x:c r="L212" s="26"/>
      <x:c r="M212" s="28"/>
      <x:c r="N212" s="36" t="n">
        <x:f>IF(A212="",0,IFERROR(MATCH(F212,'17_코드북'!$A$6:$A$14,0)-1,9))</x:f>
        <x:v>0</x:v>
      </x:c>
      <x:c r="O212" s="36" t="n">
        <x:f>IF(A212="",0,IF(AND(D212&lt;='01_설정'!$B$6,E212&lt;='01_설정'!$B$7),1,0))</x:f>
        <x:v>0</x:v>
      </x:c>
      <x:c r="P212" s="36" t="n">
        <x:f>IF(A212="",0,D212*100000+C212)</x:f>
        <x:v>0</x:v>
      </x:c>
      <x:c r="Q212" s="36" t="n">
        <x:f>IF(O212=0,0,IF(OR(R212=0,N212&lt;&gt;SUMIFS('13_검토이력'!$N$6:$N$305,'13_검토이력'!$P$6:$P$305,R212)),1,0))</x:f>
        <x:v>0</x:v>
      </x:c>
      <x:c r="R212" s="36" t="n">
        <x:f>IF(O212=0,0,_xlfn.MAXIFS('13_검토이력'!$P$6:$P$305,'13_검토이력'!$B$6:$B$305,B212,'13_검토이력'!$P$6:$P$305,"&lt;"&amp;P212,'13_검토이력'!$O$6:$O$305,1))</x:f>
        <x:v>0</x:v>
      </x:c>
      <x:c r="S212" s="36" t="n">
        <x:f>IF(A212="",0,IF(OR(H212=TRUE,H212="TRUE",H212="true"),1,0))</x:f>
        <x:v>0</x:v>
      </x:c>
    </x:row>
    <x:row r="213" ht="20" customHeight="1">
      <x:c r="A213" s="22"/>
      <x:c r="B213" s="22"/>
      <x:c r="C213" s="22"/>
      <x:c r="D213" s="28"/>
      <x:c r="E213" s="28"/>
      <x:c r="F213" s="22"/>
      <x:c r="G213" s="22"/>
      <x:c r="H213" s="22"/>
      <x:c r="I213" s="26"/>
      <x:c r="J213" s="22"/>
      <x:c r="K213" s="26"/>
      <x:c r="L213" s="26"/>
      <x:c r="M213" s="28"/>
      <x:c r="N213" s="36" t="n">
        <x:f>IF(A213="",0,IFERROR(MATCH(F213,'17_코드북'!$A$6:$A$14,0)-1,9))</x:f>
        <x:v>0</x:v>
      </x:c>
      <x:c r="O213" s="36" t="n">
        <x:f>IF(A213="",0,IF(AND(D213&lt;='01_설정'!$B$6,E213&lt;='01_설정'!$B$7),1,0))</x:f>
        <x:v>0</x:v>
      </x:c>
      <x:c r="P213" s="36" t="n">
        <x:f>IF(A213="",0,D213*100000+C213)</x:f>
        <x:v>0</x:v>
      </x:c>
      <x:c r="Q213" s="36" t="n">
        <x:f>IF(O213=0,0,IF(OR(R213=0,N213&lt;&gt;SUMIFS('13_검토이력'!$N$6:$N$305,'13_검토이력'!$P$6:$P$305,R213)),1,0))</x:f>
        <x:v>0</x:v>
      </x:c>
      <x:c r="R213" s="36" t="n">
        <x:f>IF(O213=0,0,_xlfn.MAXIFS('13_검토이력'!$P$6:$P$305,'13_검토이력'!$B$6:$B$305,B213,'13_검토이력'!$P$6:$P$305,"&lt;"&amp;P213,'13_검토이력'!$O$6:$O$305,1))</x:f>
        <x:v>0</x:v>
      </x:c>
      <x:c r="S213" s="36" t="n">
        <x:f>IF(A213="",0,IF(OR(H213=TRUE,H213="TRUE",H213="true"),1,0))</x:f>
        <x:v>0</x:v>
      </x:c>
    </x:row>
    <x:row r="214" ht="20" customHeight="1">
      <x:c r="A214" s="22"/>
      <x:c r="B214" s="22"/>
      <x:c r="C214" s="22"/>
      <x:c r="D214" s="28"/>
      <x:c r="E214" s="28"/>
      <x:c r="F214" s="22"/>
      <x:c r="G214" s="22"/>
      <x:c r="H214" s="22"/>
      <x:c r="I214" s="26"/>
      <x:c r="J214" s="22"/>
      <x:c r="K214" s="26"/>
      <x:c r="L214" s="26"/>
      <x:c r="M214" s="28"/>
      <x:c r="N214" s="36" t="n">
        <x:f>IF(A214="",0,IFERROR(MATCH(F214,'17_코드북'!$A$6:$A$14,0)-1,9))</x:f>
        <x:v>0</x:v>
      </x:c>
      <x:c r="O214" s="36" t="n">
        <x:f>IF(A214="",0,IF(AND(D214&lt;='01_설정'!$B$6,E214&lt;='01_설정'!$B$7),1,0))</x:f>
        <x:v>0</x:v>
      </x:c>
      <x:c r="P214" s="36" t="n">
        <x:f>IF(A214="",0,D214*100000+C214)</x:f>
        <x:v>0</x:v>
      </x:c>
      <x:c r="Q214" s="36" t="n">
        <x:f>IF(O214=0,0,IF(OR(R214=0,N214&lt;&gt;SUMIFS('13_검토이력'!$N$6:$N$305,'13_검토이력'!$P$6:$P$305,R214)),1,0))</x:f>
        <x:v>0</x:v>
      </x:c>
      <x:c r="R214" s="36" t="n">
        <x:f>IF(O214=0,0,_xlfn.MAXIFS('13_검토이력'!$P$6:$P$305,'13_검토이력'!$B$6:$B$305,B214,'13_검토이력'!$P$6:$P$305,"&lt;"&amp;P214,'13_검토이력'!$O$6:$O$305,1))</x:f>
        <x:v>0</x:v>
      </x:c>
      <x:c r="S214" s="36" t="n">
        <x:f>IF(A214="",0,IF(OR(H214=TRUE,H214="TRUE",H214="true"),1,0))</x:f>
        <x:v>0</x:v>
      </x:c>
    </x:row>
    <x:row r="215" ht="20" customHeight="1">
      <x:c r="A215" s="22"/>
      <x:c r="B215" s="22"/>
      <x:c r="C215" s="22"/>
      <x:c r="D215" s="28"/>
      <x:c r="E215" s="28"/>
      <x:c r="F215" s="22"/>
      <x:c r="G215" s="22"/>
      <x:c r="H215" s="22"/>
      <x:c r="I215" s="26"/>
      <x:c r="J215" s="22"/>
      <x:c r="K215" s="26"/>
      <x:c r="L215" s="26"/>
      <x:c r="M215" s="28"/>
      <x:c r="N215" s="36" t="n">
        <x:f>IF(A215="",0,IFERROR(MATCH(F215,'17_코드북'!$A$6:$A$14,0)-1,9))</x:f>
        <x:v>0</x:v>
      </x:c>
      <x:c r="O215" s="36" t="n">
        <x:f>IF(A215="",0,IF(AND(D215&lt;='01_설정'!$B$6,E215&lt;='01_설정'!$B$7),1,0))</x:f>
        <x:v>0</x:v>
      </x:c>
      <x:c r="P215" s="36" t="n">
        <x:f>IF(A215="",0,D215*100000+C215)</x:f>
        <x:v>0</x:v>
      </x:c>
      <x:c r="Q215" s="36" t="n">
        <x:f>IF(O215=0,0,IF(OR(R215=0,N215&lt;&gt;SUMIFS('13_검토이력'!$N$6:$N$305,'13_검토이력'!$P$6:$P$305,R215)),1,0))</x:f>
        <x:v>0</x:v>
      </x:c>
      <x:c r="R215" s="36" t="n">
        <x:f>IF(O215=0,0,_xlfn.MAXIFS('13_검토이력'!$P$6:$P$305,'13_검토이력'!$B$6:$B$305,B215,'13_검토이력'!$P$6:$P$305,"&lt;"&amp;P215,'13_검토이력'!$O$6:$O$305,1))</x:f>
        <x:v>0</x:v>
      </x:c>
      <x:c r="S215" s="36" t="n">
        <x:f>IF(A215="",0,IF(OR(H215=TRUE,H215="TRUE",H215="true"),1,0))</x:f>
        <x:v>0</x:v>
      </x:c>
    </x:row>
    <x:row r="216" ht="20" customHeight="1">
      <x:c r="A216" s="22"/>
      <x:c r="B216" s="22"/>
      <x:c r="C216" s="22"/>
      <x:c r="D216" s="28"/>
      <x:c r="E216" s="28"/>
      <x:c r="F216" s="22"/>
      <x:c r="G216" s="22"/>
      <x:c r="H216" s="22"/>
      <x:c r="I216" s="26"/>
      <x:c r="J216" s="22"/>
      <x:c r="K216" s="26"/>
      <x:c r="L216" s="26"/>
      <x:c r="M216" s="28"/>
      <x:c r="N216" s="36" t="n">
        <x:f>IF(A216="",0,IFERROR(MATCH(F216,'17_코드북'!$A$6:$A$14,0)-1,9))</x:f>
        <x:v>0</x:v>
      </x:c>
      <x:c r="O216" s="36" t="n">
        <x:f>IF(A216="",0,IF(AND(D216&lt;='01_설정'!$B$6,E216&lt;='01_설정'!$B$7),1,0))</x:f>
        <x:v>0</x:v>
      </x:c>
      <x:c r="P216" s="36" t="n">
        <x:f>IF(A216="",0,D216*100000+C216)</x:f>
        <x:v>0</x:v>
      </x:c>
      <x:c r="Q216" s="36" t="n">
        <x:f>IF(O216=0,0,IF(OR(R216=0,N216&lt;&gt;SUMIFS('13_검토이력'!$N$6:$N$305,'13_검토이력'!$P$6:$P$305,R216)),1,0))</x:f>
        <x:v>0</x:v>
      </x:c>
      <x:c r="R216" s="36" t="n">
        <x:f>IF(O216=0,0,_xlfn.MAXIFS('13_검토이력'!$P$6:$P$305,'13_검토이력'!$B$6:$B$305,B216,'13_검토이력'!$P$6:$P$305,"&lt;"&amp;P216,'13_검토이력'!$O$6:$O$305,1))</x:f>
        <x:v>0</x:v>
      </x:c>
      <x:c r="S216" s="36" t="n">
        <x:f>IF(A216="",0,IF(OR(H216=TRUE,H216="TRUE",H216="true"),1,0))</x:f>
        <x:v>0</x:v>
      </x:c>
    </x:row>
    <x:row r="217" ht="20" customHeight="1">
      <x:c r="A217" s="22"/>
      <x:c r="B217" s="22"/>
      <x:c r="C217" s="22"/>
      <x:c r="D217" s="28"/>
      <x:c r="E217" s="28"/>
      <x:c r="F217" s="22"/>
      <x:c r="G217" s="22"/>
      <x:c r="H217" s="22"/>
      <x:c r="I217" s="26"/>
      <x:c r="J217" s="22"/>
      <x:c r="K217" s="26"/>
      <x:c r="L217" s="26"/>
      <x:c r="M217" s="28"/>
      <x:c r="N217" s="36" t="n">
        <x:f>IF(A217="",0,IFERROR(MATCH(F217,'17_코드북'!$A$6:$A$14,0)-1,9))</x:f>
        <x:v>0</x:v>
      </x:c>
      <x:c r="O217" s="36" t="n">
        <x:f>IF(A217="",0,IF(AND(D217&lt;='01_설정'!$B$6,E217&lt;='01_설정'!$B$7),1,0))</x:f>
        <x:v>0</x:v>
      </x:c>
      <x:c r="P217" s="36" t="n">
        <x:f>IF(A217="",0,D217*100000+C217)</x:f>
        <x:v>0</x:v>
      </x:c>
      <x:c r="Q217" s="36" t="n">
        <x:f>IF(O217=0,0,IF(OR(R217=0,N217&lt;&gt;SUMIFS('13_검토이력'!$N$6:$N$305,'13_검토이력'!$P$6:$P$305,R217)),1,0))</x:f>
        <x:v>0</x:v>
      </x:c>
      <x:c r="R217" s="36" t="n">
        <x:f>IF(O217=0,0,_xlfn.MAXIFS('13_검토이력'!$P$6:$P$305,'13_검토이력'!$B$6:$B$305,B217,'13_검토이력'!$P$6:$P$305,"&lt;"&amp;P217,'13_검토이력'!$O$6:$O$305,1))</x:f>
        <x:v>0</x:v>
      </x:c>
      <x:c r="S217" s="36" t="n">
        <x:f>IF(A217="",0,IF(OR(H217=TRUE,H217="TRUE",H217="true"),1,0))</x:f>
        <x:v>0</x:v>
      </x:c>
    </x:row>
    <x:row r="218" ht="20" customHeight="1">
      <x:c r="A218" s="22"/>
      <x:c r="B218" s="22"/>
      <x:c r="C218" s="22"/>
      <x:c r="D218" s="28"/>
      <x:c r="E218" s="28"/>
      <x:c r="F218" s="22"/>
      <x:c r="G218" s="22"/>
      <x:c r="H218" s="22"/>
      <x:c r="I218" s="26"/>
      <x:c r="J218" s="22"/>
      <x:c r="K218" s="26"/>
      <x:c r="L218" s="26"/>
      <x:c r="M218" s="28"/>
      <x:c r="N218" s="36" t="n">
        <x:f>IF(A218="",0,IFERROR(MATCH(F218,'17_코드북'!$A$6:$A$14,0)-1,9))</x:f>
        <x:v>0</x:v>
      </x:c>
      <x:c r="O218" s="36" t="n">
        <x:f>IF(A218="",0,IF(AND(D218&lt;='01_설정'!$B$6,E218&lt;='01_설정'!$B$7),1,0))</x:f>
        <x:v>0</x:v>
      </x:c>
      <x:c r="P218" s="36" t="n">
        <x:f>IF(A218="",0,D218*100000+C218)</x:f>
        <x:v>0</x:v>
      </x:c>
      <x:c r="Q218" s="36" t="n">
        <x:f>IF(O218=0,0,IF(OR(R218=0,N218&lt;&gt;SUMIFS('13_검토이력'!$N$6:$N$305,'13_검토이력'!$P$6:$P$305,R218)),1,0))</x:f>
        <x:v>0</x:v>
      </x:c>
      <x:c r="R218" s="36" t="n">
        <x:f>IF(O218=0,0,_xlfn.MAXIFS('13_검토이력'!$P$6:$P$305,'13_검토이력'!$B$6:$B$305,B218,'13_검토이력'!$P$6:$P$305,"&lt;"&amp;P218,'13_검토이력'!$O$6:$O$305,1))</x:f>
        <x:v>0</x:v>
      </x:c>
      <x:c r="S218" s="36" t="n">
        <x:f>IF(A218="",0,IF(OR(H218=TRUE,H218="TRUE",H218="true"),1,0))</x:f>
        <x:v>0</x:v>
      </x:c>
    </x:row>
    <x:row r="219" ht="20" customHeight="1">
      <x:c r="A219" s="22"/>
      <x:c r="B219" s="22"/>
      <x:c r="C219" s="22"/>
      <x:c r="D219" s="28"/>
      <x:c r="E219" s="28"/>
      <x:c r="F219" s="22"/>
      <x:c r="G219" s="22"/>
      <x:c r="H219" s="22"/>
      <x:c r="I219" s="26"/>
      <x:c r="J219" s="22"/>
      <x:c r="K219" s="26"/>
      <x:c r="L219" s="26"/>
      <x:c r="M219" s="28"/>
      <x:c r="N219" s="36" t="n">
        <x:f>IF(A219="",0,IFERROR(MATCH(F219,'17_코드북'!$A$6:$A$14,0)-1,9))</x:f>
        <x:v>0</x:v>
      </x:c>
      <x:c r="O219" s="36" t="n">
        <x:f>IF(A219="",0,IF(AND(D219&lt;='01_설정'!$B$6,E219&lt;='01_설정'!$B$7),1,0))</x:f>
        <x:v>0</x:v>
      </x:c>
      <x:c r="P219" s="36" t="n">
        <x:f>IF(A219="",0,D219*100000+C219)</x:f>
        <x:v>0</x:v>
      </x:c>
      <x:c r="Q219" s="36" t="n">
        <x:f>IF(O219=0,0,IF(OR(R219=0,N219&lt;&gt;SUMIFS('13_검토이력'!$N$6:$N$305,'13_검토이력'!$P$6:$P$305,R219)),1,0))</x:f>
        <x:v>0</x:v>
      </x:c>
      <x:c r="R219" s="36" t="n">
        <x:f>IF(O219=0,0,_xlfn.MAXIFS('13_검토이력'!$P$6:$P$305,'13_검토이력'!$B$6:$B$305,B219,'13_검토이력'!$P$6:$P$305,"&lt;"&amp;P219,'13_검토이력'!$O$6:$O$305,1))</x:f>
        <x:v>0</x:v>
      </x:c>
      <x:c r="S219" s="36" t="n">
        <x:f>IF(A219="",0,IF(OR(H219=TRUE,H219="TRUE",H219="true"),1,0))</x:f>
        <x:v>0</x:v>
      </x:c>
    </x:row>
    <x:row r="220" ht="20" customHeight="1">
      <x:c r="A220" s="22"/>
      <x:c r="B220" s="22"/>
      <x:c r="C220" s="22"/>
      <x:c r="D220" s="28"/>
      <x:c r="E220" s="28"/>
      <x:c r="F220" s="22"/>
      <x:c r="G220" s="22"/>
      <x:c r="H220" s="22"/>
      <x:c r="I220" s="26"/>
      <x:c r="J220" s="22"/>
      <x:c r="K220" s="26"/>
      <x:c r="L220" s="26"/>
      <x:c r="M220" s="28"/>
      <x:c r="N220" s="36" t="n">
        <x:f>IF(A220="",0,IFERROR(MATCH(F220,'17_코드북'!$A$6:$A$14,0)-1,9))</x:f>
        <x:v>0</x:v>
      </x:c>
      <x:c r="O220" s="36" t="n">
        <x:f>IF(A220="",0,IF(AND(D220&lt;='01_설정'!$B$6,E220&lt;='01_설정'!$B$7),1,0))</x:f>
        <x:v>0</x:v>
      </x:c>
      <x:c r="P220" s="36" t="n">
        <x:f>IF(A220="",0,D220*100000+C220)</x:f>
        <x:v>0</x:v>
      </x:c>
      <x:c r="Q220" s="36" t="n">
        <x:f>IF(O220=0,0,IF(OR(R220=0,N220&lt;&gt;SUMIFS('13_검토이력'!$N$6:$N$305,'13_검토이력'!$P$6:$P$305,R220)),1,0))</x:f>
        <x:v>0</x:v>
      </x:c>
      <x:c r="R220" s="36" t="n">
        <x:f>IF(O220=0,0,_xlfn.MAXIFS('13_검토이력'!$P$6:$P$305,'13_검토이력'!$B$6:$B$305,B220,'13_검토이력'!$P$6:$P$305,"&lt;"&amp;P220,'13_검토이력'!$O$6:$O$305,1))</x:f>
        <x:v>0</x:v>
      </x:c>
      <x:c r="S220" s="36" t="n">
        <x:f>IF(A220="",0,IF(OR(H220=TRUE,H220="TRUE",H220="true"),1,0))</x:f>
        <x:v>0</x:v>
      </x:c>
    </x:row>
    <x:row r="221" ht="20" customHeight="1">
      <x:c r="A221" s="22"/>
      <x:c r="B221" s="22"/>
      <x:c r="C221" s="22"/>
      <x:c r="D221" s="28"/>
      <x:c r="E221" s="28"/>
      <x:c r="F221" s="22"/>
      <x:c r="G221" s="22"/>
      <x:c r="H221" s="22"/>
      <x:c r="I221" s="26"/>
      <x:c r="J221" s="22"/>
      <x:c r="K221" s="26"/>
      <x:c r="L221" s="26"/>
      <x:c r="M221" s="28"/>
      <x:c r="N221" s="36" t="n">
        <x:f>IF(A221="",0,IFERROR(MATCH(F221,'17_코드북'!$A$6:$A$14,0)-1,9))</x:f>
        <x:v>0</x:v>
      </x:c>
      <x:c r="O221" s="36" t="n">
        <x:f>IF(A221="",0,IF(AND(D221&lt;='01_설정'!$B$6,E221&lt;='01_설정'!$B$7),1,0))</x:f>
        <x:v>0</x:v>
      </x:c>
      <x:c r="P221" s="36" t="n">
        <x:f>IF(A221="",0,D221*100000+C221)</x:f>
        <x:v>0</x:v>
      </x:c>
      <x:c r="Q221" s="36" t="n">
        <x:f>IF(O221=0,0,IF(OR(R221=0,N221&lt;&gt;SUMIFS('13_검토이력'!$N$6:$N$305,'13_검토이력'!$P$6:$P$305,R221)),1,0))</x:f>
        <x:v>0</x:v>
      </x:c>
      <x:c r="R221" s="36" t="n">
        <x:f>IF(O221=0,0,_xlfn.MAXIFS('13_검토이력'!$P$6:$P$305,'13_검토이력'!$B$6:$B$305,B221,'13_검토이력'!$P$6:$P$305,"&lt;"&amp;P221,'13_검토이력'!$O$6:$O$305,1))</x:f>
        <x:v>0</x:v>
      </x:c>
      <x:c r="S221" s="36" t="n">
        <x:f>IF(A221="",0,IF(OR(H221=TRUE,H221="TRUE",H221="true"),1,0))</x:f>
        <x:v>0</x:v>
      </x:c>
    </x:row>
    <x:row r="222" ht="20" customHeight="1">
      <x:c r="A222" s="22"/>
      <x:c r="B222" s="22"/>
      <x:c r="C222" s="22"/>
      <x:c r="D222" s="28"/>
      <x:c r="E222" s="28"/>
      <x:c r="F222" s="22"/>
      <x:c r="G222" s="22"/>
      <x:c r="H222" s="22"/>
      <x:c r="I222" s="26"/>
      <x:c r="J222" s="22"/>
      <x:c r="K222" s="26"/>
      <x:c r="L222" s="26"/>
      <x:c r="M222" s="28"/>
      <x:c r="N222" s="36" t="n">
        <x:f>IF(A222="",0,IFERROR(MATCH(F222,'17_코드북'!$A$6:$A$14,0)-1,9))</x:f>
        <x:v>0</x:v>
      </x:c>
      <x:c r="O222" s="36" t="n">
        <x:f>IF(A222="",0,IF(AND(D222&lt;='01_설정'!$B$6,E222&lt;='01_설정'!$B$7),1,0))</x:f>
        <x:v>0</x:v>
      </x:c>
      <x:c r="P222" s="36" t="n">
        <x:f>IF(A222="",0,D222*100000+C222)</x:f>
        <x:v>0</x:v>
      </x:c>
      <x:c r="Q222" s="36" t="n">
        <x:f>IF(O222=0,0,IF(OR(R222=0,N222&lt;&gt;SUMIFS('13_검토이력'!$N$6:$N$305,'13_검토이력'!$P$6:$P$305,R222)),1,0))</x:f>
        <x:v>0</x:v>
      </x:c>
      <x:c r="R222" s="36" t="n">
        <x:f>IF(O222=0,0,_xlfn.MAXIFS('13_검토이력'!$P$6:$P$305,'13_검토이력'!$B$6:$B$305,B222,'13_검토이력'!$P$6:$P$305,"&lt;"&amp;P222,'13_검토이력'!$O$6:$O$305,1))</x:f>
        <x:v>0</x:v>
      </x:c>
      <x:c r="S222" s="36" t="n">
        <x:f>IF(A222="",0,IF(OR(H222=TRUE,H222="TRUE",H222="true"),1,0))</x:f>
        <x:v>0</x:v>
      </x:c>
    </x:row>
    <x:row r="223" ht="20" customHeight="1">
      <x:c r="A223" s="22"/>
      <x:c r="B223" s="22"/>
      <x:c r="C223" s="22"/>
      <x:c r="D223" s="28"/>
      <x:c r="E223" s="28"/>
      <x:c r="F223" s="22"/>
      <x:c r="G223" s="22"/>
      <x:c r="H223" s="22"/>
      <x:c r="I223" s="26"/>
      <x:c r="J223" s="22"/>
      <x:c r="K223" s="26"/>
      <x:c r="L223" s="26"/>
      <x:c r="M223" s="28"/>
      <x:c r="N223" s="36" t="n">
        <x:f>IF(A223="",0,IFERROR(MATCH(F223,'17_코드북'!$A$6:$A$14,0)-1,9))</x:f>
        <x:v>0</x:v>
      </x:c>
      <x:c r="O223" s="36" t="n">
        <x:f>IF(A223="",0,IF(AND(D223&lt;='01_설정'!$B$6,E223&lt;='01_설정'!$B$7),1,0))</x:f>
        <x:v>0</x:v>
      </x:c>
      <x:c r="P223" s="36" t="n">
        <x:f>IF(A223="",0,D223*100000+C223)</x:f>
        <x:v>0</x:v>
      </x:c>
      <x:c r="Q223" s="36" t="n">
        <x:f>IF(O223=0,0,IF(OR(R223=0,N223&lt;&gt;SUMIFS('13_검토이력'!$N$6:$N$305,'13_검토이력'!$P$6:$P$305,R223)),1,0))</x:f>
        <x:v>0</x:v>
      </x:c>
      <x:c r="R223" s="36" t="n">
        <x:f>IF(O223=0,0,_xlfn.MAXIFS('13_검토이력'!$P$6:$P$305,'13_검토이력'!$B$6:$B$305,B223,'13_검토이력'!$P$6:$P$305,"&lt;"&amp;P223,'13_검토이력'!$O$6:$O$305,1))</x:f>
        <x:v>0</x:v>
      </x:c>
      <x:c r="S223" s="36" t="n">
        <x:f>IF(A223="",0,IF(OR(H223=TRUE,H223="TRUE",H223="true"),1,0))</x:f>
        <x:v>0</x:v>
      </x:c>
    </x:row>
    <x:row r="224" ht="20" customHeight="1">
      <x:c r="A224" s="22"/>
      <x:c r="B224" s="22"/>
      <x:c r="C224" s="22"/>
      <x:c r="D224" s="28"/>
      <x:c r="E224" s="28"/>
      <x:c r="F224" s="22"/>
      <x:c r="G224" s="22"/>
      <x:c r="H224" s="22"/>
      <x:c r="I224" s="26"/>
      <x:c r="J224" s="22"/>
      <x:c r="K224" s="26"/>
      <x:c r="L224" s="26"/>
      <x:c r="M224" s="28"/>
      <x:c r="N224" s="36" t="n">
        <x:f>IF(A224="",0,IFERROR(MATCH(F224,'17_코드북'!$A$6:$A$14,0)-1,9))</x:f>
        <x:v>0</x:v>
      </x:c>
      <x:c r="O224" s="36" t="n">
        <x:f>IF(A224="",0,IF(AND(D224&lt;='01_설정'!$B$6,E224&lt;='01_설정'!$B$7),1,0))</x:f>
        <x:v>0</x:v>
      </x:c>
      <x:c r="P224" s="36" t="n">
        <x:f>IF(A224="",0,D224*100000+C224)</x:f>
        <x:v>0</x:v>
      </x:c>
      <x:c r="Q224" s="36" t="n">
        <x:f>IF(O224=0,0,IF(OR(R224=0,N224&lt;&gt;SUMIFS('13_검토이력'!$N$6:$N$305,'13_검토이력'!$P$6:$P$305,R224)),1,0))</x:f>
        <x:v>0</x:v>
      </x:c>
      <x:c r="R224" s="36" t="n">
        <x:f>IF(O224=0,0,_xlfn.MAXIFS('13_검토이력'!$P$6:$P$305,'13_검토이력'!$B$6:$B$305,B224,'13_검토이력'!$P$6:$P$305,"&lt;"&amp;P224,'13_검토이력'!$O$6:$O$305,1))</x:f>
        <x:v>0</x:v>
      </x:c>
      <x:c r="S224" s="36" t="n">
        <x:f>IF(A224="",0,IF(OR(H224=TRUE,H224="TRUE",H224="true"),1,0))</x:f>
        <x:v>0</x:v>
      </x:c>
    </x:row>
    <x:row r="225" ht="20" customHeight="1">
      <x:c r="A225" s="22"/>
      <x:c r="B225" s="22"/>
      <x:c r="C225" s="22"/>
      <x:c r="D225" s="28"/>
      <x:c r="E225" s="28"/>
      <x:c r="F225" s="22"/>
      <x:c r="G225" s="22"/>
      <x:c r="H225" s="22"/>
      <x:c r="I225" s="26"/>
      <x:c r="J225" s="22"/>
      <x:c r="K225" s="26"/>
      <x:c r="L225" s="26"/>
      <x:c r="M225" s="28"/>
      <x:c r="N225" s="36" t="n">
        <x:f>IF(A225="",0,IFERROR(MATCH(F225,'17_코드북'!$A$6:$A$14,0)-1,9))</x:f>
        <x:v>0</x:v>
      </x:c>
      <x:c r="O225" s="36" t="n">
        <x:f>IF(A225="",0,IF(AND(D225&lt;='01_설정'!$B$6,E225&lt;='01_설정'!$B$7),1,0))</x:f>
        <x:v>0</x:v>
      </x:c>
      <x:c r="P225" s="36" t="n">
        <x:f>IF(A225="",0,D225*100000+C225)</x:f>
        <x:v>0</x:v>
      </x:c>
      <x:c r="Q225" s="36" t="n">
        <x:f>IF(O225=0,0,IF(OR(R225=0,N225&lt;&gt;SUMIFS('13_검토이력'!$N$6:$N$305,'13_검토이력'!$P$6:$P$305,R225)),1,0))</x:f>
        <x:v>0</x:v>
      </x:c>
      <x:c r="R225" s="36" t="n">
        <x:f>IF(O225=0,0,_xlfn.MAXIFS('13_검토이력'!$P$6:$P$305,'13_검토이력'!$B$6:$B$305,B225,'13_검토이력'!$P$6:$P$305,"&lt;"&amp;P225,'13_검토이력'!$O$6:$O$305,1))</x:f>
        <x:v>0</x:v>
      </x:c>
      <x:c r="S225" s="36" t="n">
        <x:f>IF(A225="",0,IF(OR(H225=TRUE,H225="TRUE",H225="true"),1,0))</x:f>
        <x:v>0</x:v>
      </x:c>
    </x:row>
    <x:row r="226" ht="20" customHeight="1">
      <x:c r="A226" s="22"/>
      <x:c r="B226" s="22"/>
      <x:c r="C226" s="22"/>
      <x:c r="D226" s="28"/>
      <x:c r="E226" s="28"/>
      <x:c r="F226" s="22"/>
      <x:c r="G226" s="22"/>
      <x:c r="H226" s="22"/>
      <x:c r="I226" s="26"/>
      <x:c r="J226" s="22"/>
      <x:c r="K226" s="26"/>
      <x:c r="L226" s="26"/>
      <x:c r="M226" s="28"/>
      <x:c r="N226" s="36" t="n">
        <x:f>IF(A226="",0,IFERROR(MATCH(F226,'17_코드북'!$A$6:$A$14,0)-1,9))</x:f>
        <x:v>0</x:v>
      </x:c>
      <x:c r="O226" s="36" t="n">
        <x:f>IF(A226="",0,IF(AND(D226&lt;='01_설정'!$B$6,E226&lt;='01_설정'!$B$7),1,0))</x:f>
        <x:v>0</x:v>
      </x:c>
      <x:c r="P226" s="36" t="n">
        <x:f>IF(A226="",0,D226*100000+C226)</x:f>
        <x:v>0</x:v>
      </x:c>
      <x:c r="Q226" s="36" t="n">
        <x:f>IF(O226=0,0,IF(OR(R226=0,N226&lt;&gt;SUMIFS('13_검토이력'!$N$6:$N$305,'13_검토이력'!$P$6:$P$305,R226)),1,0))</x:f>
        <x:v>0</x:v>
      </x:c>
      <x:c r="R226" s="36" t="n">
        <x:f>IF(O226=0,0,_xlfn.MAXIFS('13_검토이력'!$P$6:$P$305,'13_검토이력'!$B$6:$B$305,B226,'13_검토이력'!$P$6:$P$305,"&lt;"&amp;P226,'13_검토이력'!$O$6:$O$305,1))</x:f>
        <x:v>0</x:v>
      </x:c>
      <x:c r="S226" s="36" t="n">
        <x:f>IF(A226="",0,IF(OR(H226=TRUE,H226="TRUE",H226="true"),1,0))</x:f>
        <x:v>0</x:v>
      </x:c>
    </x:row>
    <x:row r="227" ht="20" customHeight="1">
      <x:c r="A227" s="22"/>
      <x:c r="B227" s="22"/>
      <x:c r="C227" s="22"/>
      <x:c r="D227" s="28"/>
      <x:c r="E227" s="28"/>
      <x:c r="F227" s="22"/>
      <x:c r="G227" s="22"/>
      <x:c r="H227" s="22"/>
      <x:c r="I227" s="26"/>
      <x:c r="J227" s="22"/>
      <x:c r="K227" s="26"/>
      <x:c r="L227" s="26"/>
      <x:c r="M227" s="28"/>
      <x:c r="N227" s="36" t="n">
        <x:f>IF(A227="",0,IFERROR(MATCH(F227,'17_코드북'!$A$6:$A$14,0)-1,9))</x:f>
        <x:v>0</x:v>
      </x:c>
      <x:c r="O227" s="36" t="n">
        <x:f>IF(A227="",0,IF(AND(D227&lt;='01_설정'!$B$6,E227&lt;='01_설정'!$B$7),1,0))</x:f>
        <x:v>0</x:v>
      </x:c>
      <x:c r="P227" s="36" t="n">
        <x:f>IF(A227="",0,D227*100000+C227)</x:f>
        <x:v>0</x:v>
      </x:c>
      <x:c r="Q227" s="36" t="n">
        <x:f>IF(O227=0,0,IF(OR(R227=0,N227&lt;&gt;SUMIFS('13_검토이력'!$N$6:$N$305,'13_검토이력'!$P$6:$P$305,R227)),1,0))</x:f>
        <x:v>0</x:v>
      </x:c>
      <x:c r="R227" s="36" t="n">
        <x:f>IF(O227=0,0,_xlfn.MAXIFS('13_검토이력'!$P$6:$P$305,'13_검토이력'!$B$6:$B$305,B227,'13_검토이력'!$P$6:$P$305,"&lt;"&amp;P227,'13_검토이력'!$O$6:$O$305,1))</x:f>
        <x:v>0</x:v>
      </x:c>
      <x:c r="S227" s="36" t="n">
        <x:f>IF(A227="",0,IF(OR(H227=TRUE,H227="TRUE",H227="true"),1,0))</x:f>
        <x:v>0</x:v>
      </x:c>
    </x:row>
    <x:row r="228" ht="20" customHeight="1">
      <x:c r="A228" s="22"/>
      <x:c r="B228" s="22"/>
      <x:c r="C228" s="22"/>
      <x:c r="D228" s="28"/>
      <x:c r="E228" s="28"/>
      <x:c r="F228" s="22"/>
      <x:c r="G228" s="22"/>
      <x:c r="H228" s="22"/>
      <x:c r="I228" s="26"/>
      <x:c r="J228" s="22"/>
      <x:c r="K228" s="26"/>
      <x:c r="L228" s="26"/>
      <x:c r="M228" s="28"/>
      <x:c r="N228" s="36" t="n">
        <x:f>IF(A228="",0,IFERROR(MATCH(F228,'17_코드북'!$A$6:$A$14,0)-1,9))</x:f>
        <x:v>0</x:v>
      </x:c>
      <x:c r="O228" s="36" t="n">
        <x:f>IF(A228="",0,IF(AND(D228&lt;='01_설정'!$B$6,E228&lt;='01_설정'!$B$7),1,0))</x:f>
        <x:v>0</x:v>
      </x:c>
      <x:c r="P228" s="36" t="n">
        <x:f>IF(A228="",0,D228*100000+C228)</x:f>
        <x:v>0</x:v>
      </x:c>
      <x:c r="Q228" s="36" t="n">
        <x:f>IF(O228=0,0,IF(OR(R228=0,N228&lt;&gt;SUMIFS('13_검토이력'!$N$6:$N$305,'13_검토이력'!$P$6:$P$305,R228)),1,0))</x:f>
        <x:v>0</x:v>
      </x:c>
      <x:c r="R228" s="36" t="n">
        <x:f>IF(O228=0,0,_xlfn.MAXIFS('13_검토이력'!$P$6:$P$305,'13_검토이력'!$B$6:$B$305,B228,'13_검토이력'!$P$6:$P$305,"&lt;"&amp;P228,'13_검토이력'!$O$6:$O$305,1))</x:f>
        <x:v>0</x:v>
      </x:c>
      <x:c r="S228" s="36" t="n">
        <x:f>IF(A228="",0,IF(OR(H228=TRUE,H228="TRUE",H228="true"),1,0))</x:f>
        <x:v>0</x:v>
      </x:c>
    </x:row>
    <x:row r="229" ht="20" customHeight="1">
      <x:c r="A229" s="22"/>
      <x:c r="B229" s="22"/>
      <x:c r="C229" s="22"/>
      <x:c r="D229" s="28"/>
      <x:c r="E229" s="28"/>
      <x:c r="F229" s="22"/>
      <x:c r="G229" s="22"/>
      <x:c r="H229" s="22"/>
      <x:c r="I229" s="26"/>
      <x:c r="J229" s="22"/>
      <x:c r="K229" s="26"/>
      <x:c r="L229" s="26"/>
      <x:c r="M229" s="28"/>
      <x:c r="N229" s="36" t="n">
        <x:f>IF(A229="",0,IFERROR(MATCH(F229,'17_코드북'!$A$6:$A$14,0)-1,9))</x:f>
        <x:v>0</x:v>
      </x:c>
      <x:c r="O229" s="36" t="n">
        <x:f>IF(A229="",0,IF(AND(D229&lt;='01_설정'!$B$6,E229&lt;='01_설정'!$B$7),1,0))</x:f>
        <x:v>0</x:v>
      </x:c>
      <x:c r="P229" s="36" t="n">
        <x:f>IF(A229="",0,D229*100000+C229)</x:f>
        <x:v>0</x:v>
      </x:c>
      <x:c r="Q229" s="36" t="n">
        <x:f>IF(O229=0,0,IF(OR(R229=0,N229&lt;&gt;SUMIFS('13_검토이력'!$N$6:$N$305,'13_검토이력'!$P$6:$P$305,R229)),1,0))</x:f>
        <x:v>0</x:v>
      </x:c>
      <x:c r="R229" s="36" t="n">
        <x:f>IF(O229=0,0,_xlfn.MAXIFS('13_검토이력'!$P$6:$P$305,'13_검토이력'!$B$6:$B$305,B229,'13_검토이력'!$P$6:$P$305,"&lt;"&amp;P229,'13_검토이력'!$O$6:$O$305,1))</x:f>
        <x:v>0</x:v>
      </x:c>
      <x:c r="S229" s="36" t="n">
        <x:f>IF(A229="",0,IF(OR(H229=TRUE,H229="TRUE",H229="true"),1,0))</x:f>
        <x:v>0</x:v>
      </x:c>
    </x:row>
    <x:row r="230" ht="20" customHeight="1">
      <x:c r="A230" s="22"/>
      <x:c r="B230" s="22"/>
      <x:c r="C230" s="22"/>
      <x:c r="D230" s="28"/>
      <x:c r="E230" s="28"/>
      <x:c r="F230" s="22"/>
      <x:c r="G230" s="22"/>
      <x:c r="H230" s="22"/>
      <x:c r="I230" s="26"/>
      <x:c r="J230" s="22"/>
      <x:c r="K230" s="26"/>
      <x:c r="L230" s="26"/>
      <x:c r="M230" s="28"/>
      <x:c r="N230" s="36" t="n">
        <x:f>IF(A230="",0,IFERROR(MATCH(F230,'17_코드북'!$A$6:$A$14,0)-1,9))</x:f>
        <x:v>0</x:v>
      </x:c>
      <x:c r="O230" s="36" t="n">
        <x:f>IF(A230="",0,IF(AND(D230&lt;='01_설정'!$B$6,E230&lt;='01_설정'!$B$7),1,0))</x:f>
        <x:v>0</x:v>
      </x:c>
      <x:c r="P230" s="36" t="n">
        <x:f>IF(A230="",0,D230*100000+C230)</x:f>
        <x:v>0</x:v>
      </x:c>
      <x:c r="Q230" s="36" t="n">
        <x:f>IF(O230=0,0,IF(OR(R230=0,N230&lt;&gt;SUMIFS('13_검토이력'!$N$6:$N$305,'13_검토이력'!$P$6:$P$305,R230)),1,0))</x:f>
        <x:v>0</x:v>
      </x:c>
      <x:c r="R230" s="36" t="n">
        <x:f>IF(O230=0,0,_xlfn.MAXIFS('13_검토이력'!$P$6:$P$305,'13_검토이력'!$B$6:$B$305,B230,'13_검토이력'!$P$6:$P$305,"&lt;"&amp;P230,'13_검토이력'!$O$6:$O$305,1))</x:f>
        <x:v>0</x:v>
      </x:c>
      <x:c r="S230" s="36" t="n">
        <x:f>IF(A230="",0,IF(OR(H230=TRUE,H230="TRUE",H230="true"),1,0))</x:f>
        <x:v>0</x:v>
      </x:c>
    </x:row>
    <x:row r="231" ht="20" customHeight="1">
      <x:c r="A231" s="22"/>
      <x:c r="B231" s="22"/>
      <x:c r="C231" s="22"/>
      <x:c r="D231" s="28"/>
      <x:c r="E231" s="28"/>
      <x:c r="F231" s="22"/>
      <x:c r="G231" s="22"/>
      <x:c r="H231" s="22"/>
      <x:c r="I231" s="26"/>
      <x:c r="J231" s="22"/>
      <x:c r="K231" s="26"/>
      <x:c r="L231" s="26"/>
      <x:c r="M231" s="28"/>
      <x:c r="N231" s="36" t="n">
        <x:f>IF(A231="",0,IFERROR(MATCH(F231,'17_코드북'!$A$6:$A$14,0)-1,9))</x:f>
        <x:v>0</x:v>
      </x:c>
      <x:c r="O231" s="36" t="n">
        <x:f>IF(A231="",0,IF(AND(D231&lt;='01_설정'!$B$6,E231&lt;='01_설정'!$B$7),1,0))</x:f>
        <x:v>0</x:v>
      </x:c>
      <x:c r="P231" s="36" t="n">
        <x:f>IF(A231="",0,D231*100000+C231)</x:f>
        <x:v>0</x:v>
      </x:c>
      <x:c r="Q231" s="36" t="n">
        <x:f>IF(O231=0,0,IF(OR(R231=0,N231&lt;&gt;SUMIFS('13_검토이력'!$N$6:$N$305,'13_검토이력'!$P$6:$P$305,R231)),1,0))</x:f>
        <x:v>0</x:v>
      </x:c>
      <x:c r="R231" s="36" t="n">
        <x:f>IF(O231=0,0,_xlfn.MAXIFS('13_검토이력'!$P$6:$P$305,'13_검토이력'!$B$6:$B$305,B231,'13_검토이력'!$P$6:$P$305,"&lt;"&amp;P231,'13_검토이력'!$O$6:$O$305,1))</x:f>
        <x:v>0</x:v>
      </x:c>
      <x:c r="S231" s="36" t="n">
        <x:f>IF(A231="",0,IF(OR(H231=TRUE,H231="TRUE",H231="true"),1,0))</x:f>
        <x:v>0</x:v>
      </x:c>
    </x:row>
    <x:row r="232" ht="20" customHeight="1">
      <x:c r="A232" s="22"/>
      <x:c r="B232" s="22"/>
      <x:c r="C232" s="22"/>
      <x:c r="D232" s="28"/>
      <x:c r="E232" s="28"/>
      <x:c r="F232" s="22"/>
      <x:c r="G232" s="22"/>
      <x:c r="H232" s="22"/>
      <x:c r="I232" s="26"/>
      <x:c r="J232" s="22"/>
      <x:c r="K232" s="26"/>
      <x:c r="L232" s="26"/>
      <x:c r="M232" s="28"/>
      <x:c r="N232" s="36" t="n">
        <x:f>IF(A232="",0,IFERROR(MATCH(F232,'17_코드북'!$A$6:$A$14,0)-1,9))</x:f>
        <x:v>0</x:v>
      </x:c>
      <x:c r="O232" s="36" t="n">
        <x:f>IF(A232="",0,IF(AND(D232&lt;='01_설정'!$B$6,E232&lt;='01_설정'!$B$7),1,0))</x:f>
        <x:v>0</x:v>
      </x:c>
      <x:c r="P232" s="36" t="n">
        <x:f>IF(A232="",0,D232*100000+C232)</x:f>
        <x:v>0</x:v>
      </x:c>
      <x:c r="Q232" s="36" t="n">
        <x:f>IF(O232=0,0,IF(OR(R232=0,N232&lt;&gt;SUMIFS('13_검토이력'!$N$6:$N$305,'13_검토이력'!$P$6:$P$305,R232)),1,0))</x:f>
        <x:v>0</x:v>
      </x:c>
      <x:c r="R232" s="36" t="n">
        <x:f>IF(O232=0,0,_xlfn.MAXIFS('13_검토이력'!$P$6:$P$305,'13_검토이력'!$B$6:$B$305,B232,'13_검토이력'!$P$6:$P$305,"&lt;"&amp;P232,'13_검토이력'!$O$6:$O$305,1))</x:f>
        <x:v>0</x:v>
      </x:c>
      <x:c r="S232" s="36" t="n">
        <x:f>IF(A232="",0,IF(OR(H232=TRUE,H232="TRUE",H232="true"),1,0))</x:f>
        <x:v>0</x:v>
      </x:c>
    </x:row>
    <x:row r="233" ht="20" customHeight="1">
      <x:c r="A233" s="22"/>
      <x:c r="B233" s="22"/>
      <x:c r="C233" s="22"/>
      <x:c r="D233" s="28"/>
      <x:c r="E233" s="28"/>
      <x:c r="F233" s="22"/>
      <x:c r="G233" s="22"/>
      <x:c r="H233" s="22"/>
      <x:c r="I233" s="26"/>
      <x:c r="J233" s="22"/>
      <x:c r="K233" s="26"/>
      <x:c r="L233" s="26"/>
      <x:c r="M233" s="28"/>
      <x:c r="N233" s="36" t="n">
        <x:f>IF(A233="",0,IFERROR(MATCH(F233,'17_코드북'!$A$6:$A$14,0)-1,9))</x:f>
        <x:v>0</x:v>
      </x:c>
      <x:c r="O233" s="36" t="n">
        <x:f>IF(A233="",0,IF(AND(D233&lt;='01_설정'!$B$6,E233&lt;='01_설정'!$B$7),1,0))</x:f>
        <x:v>0</x:v>
      </x:c>
      <x:c r="P233" s="36" t="n">
        <x:f>IF(A233="",0,D233*100000+C233)</x:f>
        <x:v>0</x:v>
      </x:c>
      <x:c r="Q233" s="36" t="n">
        <x:f>IF(O233=0,0,IF(OR(R233=0,N233&lt;&gt;SUMIFS('13_검토이력'!$N$6:$N$305,'13_검토이력'!$P$6:$P$305,R233)),1,0))</x:f>
        <x:v>0</x:v>
      </x:c>
      <x:c r="R233" s="36" t="n">
        <x:f>IF(O233=0,0,_xlfn.MAXIFS('13_검토이력'!$P$6:$P$305,'13_검토이력'!$B$6:$B$305,B233,'13_검토이력'!$P$6:$P$305,"&lt;"&amp;P233,'13_검토이력'!$O$6:$O$305,1))</x:f>
        <x:v>0</x:v>
      </x:c>
      <x:c r="S233" s="36" t="n">
        <x:f>IF(A233="",0,IF(OR(H233=TRUE,H233="TRUE",H233="true"),1,0))</x:f>
        <x:v>0</x:v>
      </x:c>
    </x:row>
    <x:row r="234" ht="20" customHeight="1">
      <x:c r="A234" s="22"/>
      <x:c r="B234" s="22"/>
      <x:c r="C234" s="22"/>
      <x:c r="D234" s="28"/>
      <x:c r="E234" s="28"/>
      <x:c r="F234" s="22"/>
      <x:c r="G234" s="22"/>
      <x:c r="H234" s="22"/>
      <x:c r="I234" s="26"/>
      <x:c r="J234" s="22"/>
      <x:c r="K234" s="26"/>
      <x:c r="L234" s="26"/>
      <x:c r="M234" s="28"/>
      <x:c r="N234" s="36" t="n">
        <x:f>IF(A234="",0,IFERROR(MATCH(F234,'17_코드북'!$A$6:$A$14,0)-1,9))</x:f>
        <x:v>0</x:v>
      </x:c>
      <x:c r="O234" s="36" t="n">
        <x:f>IF(A234="",0,IF(AND(D234&lt;='01_설정'!$B$6,E234&lt;='01_설정'!$B$7),1,0))</x:f>
        <x:v>0</x:v>
      </x:c>
      <x:c r="P234" s="36" t="n">
        <x:f>IF(A234="",0,D234*100000+C234)</x:f>
        <x:v>0</x:v>
      </x:c>
      <x:c r="Q234" s="36" t="n">
        <x:f>IF(O234=0,0,IF(OR(R234=0,N234&lt;&gt;SUMIFS('13_검토이력'!$N$6:$N$305,'13_검토이력'!$P$6:$P$305,R234)),1,0))</x:f>
        <x:v>0</x:v>
      </x:c>
      <x:c r="R234" s="36" t="n">
        <x:f>IF(O234=0,0,_xlfn.MAXIFS('13_검토이력'!$P$6:$P$305,'13_검토이력'!$B$6:$B$305,B234,'13_검토이력'!$P$6:$P$305,"&lt;"&amp;P234,'13_검토이력'!$O$6:$O$305,1))</x:f>
        <x:v>0</x:v>
      </x:c>
      <x:c r="S234" s="36" t="n">
        <x:f>IF(A234="",0,IF(OR(H234=TRUE,H234="TRUE",H234="true"),1,0))</x:f>
        <x:v>0</x:v>
      </x:c>
    </x:row>
    <x:row r="235" ht="20" customHeight="1">
      <x:c r="A235" s="22"/>
      <x:c r="B235" s="22"/>
      <x:c r="C235" s="22"/>
      <x:c r="D235" s="28"/>
      <x:c r="E235" s="28"/>
      <x:c r="F235" s="22"/>
      <x:c r="G235" s="22"/>
      <x:c r="H235" s="22"/>
      <x:c r="I235" s="26"/>
      <x:c r="J235" s="22"/>
      <x:c r="K235" s="26"/>
      <x:c r="L235" s="26"/>
      <x:c r="M235" s="28"/>
      <x:c r="N235" s="36" t="n">
        <x:f>IF(A235="",0,IFERROR(MATCH(F235,'17_코드북'!$A$6:$A$14,0)-1,9))</x:f>
        <x:v>0</x:v>
      </x:c>
      <x:c r="O235" s="36" t="n">
        <x:f>IF(A235="",0,IF(AND(D235&lt;='01_설정'!$B$6,E235&lt;='01_설정'!$B$7),1,0))</x:f>
        <x:v>0</x:v>
      </x:c>
      <x:c r="P235" s="36" t="n">
        <x:f>IF(A235="",0,D235*100000+C235)</x:f>
        <x:v>0</x:v>
      </x:c>
      <x:c r="Q235" s="36" t="n">
        <x:f>IF(O235=0,0,IF(OR(R235=0,N235&lt;&gt;SUMIFS('13_검토이력'!$N$6:$N$305,'13_검토이력'!$P$6:$P$305,R235)),1,0))</x:f>
        <x:v>0</x:v>
      </x:c>
      <x:c r="R235" s="36" t="n">
        <x:f>IF(O235=0,0,_xlfn.MAXIFS('13_검토이력'!$P$6:$P$305,'13_검토이력'!$B$6:$B$305,B235,'13_검토이력'!$P$6:$P$305,"&lt;"&amp;P235,'13_검토이력'!$O$6:$O$305,1))</x:f>
        <x:v>0</x:v>
      </x:c>
      <x:c r="S235" s="36" t="n">
        <x:f>IF(A235="",0,IF(OR(H235=TRUE,H235="TRUE",H235="true"),1,0))</x:f>
        <x:v>0</x:v>
      </x:c>
    </x:row>
    <x:row r="236" ht="20" customHeight="1">
      <x:c r="A236" s="22"/>
      <x:c r="B236" s="22"/>
      <x:c r="C236" s="22"/>
      <x:c r="D236" s="28"/>
      <x:c r="E236" s="28"/>
      <x:c r="F236" s="22"/>
      <x:c r="G236" s="22"/>
      <x:c r="H236" s="22"/>
      <x:c r="I236" s="26"/>
      <x:c r="J236" s="22"/>
      <x:c r="K236" s="26"/>
      <x:c r="L236" s="26"/>
      <x:c r="M236" s="28"/>
      <x:c r="N236" s="36" t="n">
        <x:f>IF(A236="",0,IFERROR(MATCH(F236,'17_코드북'!$A$6:$A$14,0)-1,9))</x:f>
        <x:v>0</x:v>
      </x:c>
      <x:c r="O236" s="36" t="n">
        <x:f>IF(A236="",0,IF(AND(D236&lt;='01_설정'!$B$6,E236&lt;='01_설정'!$B$7),1,0))</x:f>
        <x:v>0</x:v>
      </x:c>
      <x:c r="P236" s="36" t="n">
        <x:f>IF(A236="",0,D236*100000+C236)</x:f>
        <x:v>0</x:v>
      </x:c>
      <x:c r="Q236" s="36" t="n">
        <x:f>IF(O236=0,0,IF(OR(R236=0,N236&lt;&gt;SUMIFS('13_검토이력'!$N$6:$N$305,'13_검토이력'!$P$6:$P$305,R236)),1,0))</x:f>
        <x:v>0</x:v>
      </x:c>
      <x:c r="R236" s="36" t="n">
        <x:f>IF(O236=0,0,_xlfn.MAXIFS('13_검토이력'!$P$6:$P$305,'13_검토이력'!$B$6:$B$305,B236,'13_검토이력'!$P$6:$P$305,"&lt;"&amp;P236,'13_검토이력'!$O$6:$O$305,1))</x:f>
        <x:v>0</x:v>
      </x:c>
      <x:c r="S236" s="36" t="n">
        <x:f>IF(A236="",0,IF(OR(H236=TRUE,H236="TRUE",H236="true"),1,0))</x:f>
        <x:v>0</x:v>
      </x:c>
    </x:row>
    <x:row r="237" ht="20" customHeight="1">
      <x:c r="A237" s="22"/>
      <x:c r="B237" s="22"/>
      <x:c r="C237" s="22"/>
      <x:c r="D237" s="28"/>
      <x:c r="E237" s="28"/>
      <x:c r="F237" s="22"/>
      <x:c r="G237" s="22"/>
      <x:c r="H237" s="22"/>
      <x:c r="I237" s="26"/>
      <x:c r="J237" s="22"/>
      <x:c r="K237" s="26"/>
      <x:c r="L237" s="26"/>
      <x:c r="M237" s="28"/>
      <x:c r="N237" s="36" t="n">
        <x:f>IF(A237="",0,IFERROR(MATCH(F237,'17_코드북'!$A$6:$A$14,0)-1,9))</x:f>
        <x:v>0</x:v>
      </x:c>
      <x:c r="O237" s="36" t="n">
        <x:f>IF(A237="",0,IF(AND(D237&lt;='01_설정'!$B$6,E237&lt;='01_설정'!$B$7),1,0))</x:f>
        <x:v>0</x:v>
      </x:c>
      <x:c r="P237" s="36" t="n">
        <x:f>IF(A237="",0,D237*100000+C237)</x:f>
        <x:v>0</x:v>
      </x:c>
      <x:c r="Q237" s="36" t="n">
        <x:f>IF(O237=0,0,IF(OR(R237=0,N237&lt;&gt;SUMIFS('13_검토이력'!$N$6:$N$305,'13_검토이력'!$P$6:$P$305,R237)),1,0))</x:f>
        <x:v>0</x:v>
      </x:c>
      <x:c r="R237" s="36" t="n">
        <x:f>IF(O237=0,0,_xlfn.MAXIFS('13_검토이력'!$P$6:$P$305,'13_검토이력'!$B$6:$B$305,B237,'13_검토이력'!$P$6:$P$305,"&lt;"&amp;P237,'13_검토이력'!$O$6:$O$305,1))</x:f>
        <x:v>0</x:v>
      </x:c>
      <x:c r="S237" s="36" t="n">
        <x:f>IF(A237="",0,IF(OR(H237=TRUE,H237="TRUE",H237="true"),1,0))</x:f>
        <x:v>0</x:v>
      </x:c>
    </x:row>
    <x:row r="238" ht="20" customHeight="1">
      <x:c r="A238" s="22"/>
      <x:c r="B238" s="22"/>
      <x:c r="C238" s="22"/>
      <x:c r="D238" s="28"/>
      <x:c r="E238" s="28"/>
      <x:c r="F238" s="22"/>
      <x:c r="G238" s="22"/>
      <x:c r="H238" s="22"/>
      <x:c r="I238" s="26"/>
      <x:c r="J238" s="22"/>
      <x:c r="K238" s="26"/>
      <x:c r="L238" s="26"/>
      <x:c r="M238" s="28"/>
      <x:c r="N238" s="36" t="n">
        <x:f>IF(A238="",0,IFERROR(MATCH(F238,'17_코드북'!$A$6:$A$14,0)-1,9))</x:f>
        <x:v>0</x:v>
      </x:c>
      <x:c r="O238" s="36" t="n">
        <x:f>IF(A238="",0,IF(AND(D238&lt;='01_설정'!$B$6,E238&lt;='01_설정'!$B$7),1,0))</x:f>
        <x:v>0</x:v>
      </x:c>
      <x:c r="P238" s="36" t="n">
        <x:f>IF(A238="",0,D238*100000+C238)</x:f>
        <x:v>0</x:v>
      </x:c>
      <x:c r="Q238" s="36" t="n">
        <x:f>IF(O238=0,0,IF(OR(R238=0,N238&lt;&gt;SUMIFS('13_검토이력'!$N$6:$N$305,'13_검토이력'!$P$6:$P$305,R238)),1,0))</x:f>
        <x:v>0</x:v>
      </x:c>
      <x:c r="R238" s="36" t="n">
        <x:f>IF(O238=0,0,_xlfn.MAXIFS('13_검토이력'!$P$6:$P$305,'13_검토이력'!$B$6:$B$305,B238,'13_검토이력'!$P$6:$P$305,"&lt;"&amp;P238,'13_검토이력'!$O$6:$O$305,1))</x:f>
        <x:v>0</x:v>
      </x:c>
      <x:c r="S238" s="36" t="n">
        <x:f>IF(A238="",0,IF(OR(H238=TRUE,H238="TRUE",H238="true"),1,0))</x:f>
        <x:v>0</x:v>
      </x:c>
    </x:row>
    <x:row r="239" ht="20" customHeight="1">
      <x:c r="A239" s="22"/>
      <x:c r="B239" s="22"/>
      <x:c r="C239" s="22"/>
      <x:c r="D239" s="28"/>
      <x:c r="E239" s="28"/>
      <x:c r="F239" s="22"/>
      <x:c r="G239" s="22"/>
      <x:c r="H239" s="22"/>
      <x:c r="I239" s="26"/>
      <x:c r="J239" s="22"/>
      <x:c r="K239" s="26"/>
      <x:c r="L239" s="26"/>
      <x:c r="M239" s="28"/>
      <x:c r="N239" s="36" t="n">
        <x:f>IF(A239="",0,IFERROR(MATCH(F239,'17_코드북'!$A$6:$A$14,0)-1,9))</x:f>
        <x:v>0</x:v>
      </x:c>
      <x:c r="O239" s="36" t="n">
        <x:f>IF(A239="",0,IF(AND(D239&lt;='01_설정'!$B$6,E239&lt;='01_설정'!$B$7),1,0))</x:f>
        <x:v>0</x:v>
      </x:c>
      <x:c r="P239" s="36" t="n">
        <x:f>IF(A239="",0,D239*100000+C239)</x:f>
        <x:v>0</x:v>
      </x:c>
      <x:c r="Q239" s="36" t="n">
        <x:f>IF(O239=0,0,IF(OR(R239=0,N239&lt;&gt;SUMIFS('13_검토이력'!$N$6:$N$305,'13_검토이력'!$P$6:$P$305,R239)),1,0))</x:f>
        <x:v>0</x:v>
      </x:c>
      <x:c r="R239" s="36" t="n">
        <x:f>IF(O239=0,0,_xlfn.MAXIFS('13_검토이력'!$P$6:$P$305,'13_검토이력'!$B$6:$B$305,B239,'13_검토이력'!$P$6:$P$305,"&lt;"&amp;P239,'13_검토이력'!$O$6:$O$305,1))</x:f>
        <x:v>0</x:v>
      </x:c>
      <x:c r="S239" s="36" t="n">
        <x:f>IF(A239="",0,IF(OR(H239=TRUE,H239="TRUE",H239="true"),1,0))</x:f>
        <x:v>0</x:v>
      </x:c>
    </x:row>
    <x:row r="240" ht="20" customHeight="1">
      <x:c r="A240" s="22"/>
      <x:c r="B240" s="22"/>
      <x:c r="C240" s="22"/>
      <x:c r="D240" s="28"/>
      <x:c r="E240" s="28"/>
      <x:c r="F240" s="22"/>
      <x:c r="G240" s="22"/>
      <x:c r="H240" s="22"/>
      <x:c r="I240" s="26"/>
      <x:c r="J240" s="22"/>
      <x:c r="K240" s="26"/>
      <x:c r="L240" s="26"/>
      <x:c r="M240" s="28"/>
      <x:c r="N240" s="36" t="n">
        <x:f>IF(A240="",0,IFERROR(MATCH(F240,'17_코드북'!$A$6:$A$14,0)-1,9))</x:f>
        <x:v>0</x:v>
      </x:c>
      <x:c r="O240" s="36" t="n">
        <x:f>IF(A240="",0,IF(AND(D240&lt;='01_설정'!$B$6,E240&lt;='01_설정'!$B$7),1,0))</x:f>
        <x:v>0</x:v>
      </x:c>
      <x:c r="P240" s="36" t="n">
        <x:f>IF(A240="",0,D240*100000+C240)</x:f>
        <x:v>0</x:v>
      </x:c>
      <x:c r="Q240" s="36" t="n">
        <x:f>IF(O240=0,0,IF(OR(R240=0,N240&lt;&gt;SUMIFS('13_검토이력'!$N$6:$N$305,'13_검토이력'!$P$6:$P$305,R240)),1,0))</x:f>
        <x:v>0</x:v>
      </x:c>
      <x:c r="R240" s="36" t="n">
        <x:f>IF(O240=0,0,_xlfn.MAXIFS('13_검토이력'!$P$6:$P$305,'13_검토이력'!$B$6:$B$305,B240,'13_검토이력'!$P$6:$P$305,"&lt;"&amp;P240,'13_검토이력'!$O$6:$O$305,1))</x:f>
        <x:v>0</x:v>
      </x:c>
      <x:c r="S240" s="36" t="n">
        <x:f>IF(A240="",0,IF(OR(H240=TRUE,H240="TRUE",H240="true"),1,0))</x:f>
        <x:v>0</x:v>
      </x:c>
    </x:row>
    <x:row r="241" ht="20" customHeight="1">
      <x:c r="A241" s="22"/>
      <x:c r="B241" s="22"/>
      <x:c r="C241" s="22"/>
      <x:c r="D241" s="28"/>
      <x:c r="E241" s="28"/>
      <x:c r="F241" s="22"/>
      <x:c r="G241" s="22"/>
      <x:c r="H241" s="22"/>
      <x:c r="I241" s="26"/>
      <x:c r="J241" s="22"/>
      <x:c r="K241" s="26"/>
      <x:c r="L241" s="26"/>
      <x:c r="M241" s="28"/>
      <x:c r="N241" s="36" t="n">
        <x:f>IF(A241="",0,IFERROR(MATCH(F241,'17_코드북'!$A$6:$A$14,0)-1,9))</x:f>
        <x:v>0</x:v>
      </x:c>
      <x:c r="O241" s="36" t="n">
        <x:f>IF(A241="",0,IF(AND(D241&lt;='01_설정'!$B$6,E241&lt;='01_설정'!$B$7),1,0))</x:f>
        <x:v>0</x:v>
      </x:c>
      <x:c r="P241" s="36" t="n">
        <x:f>IF(A241="",0,D241*100000+C241)</x:f>
        <x:v>0</x:v>
      </x:c>
      <x:c r="Q241" s="36" t="n">
        <x:f>IF(O241=0,0,IF(OR(R241=0,N241&lt;&gt;SUMIFS('13_검토이력'!$N$6:$N$305,'13_검토이력'!$P$6:$P$305,R241)),1,0))</x:f>
        <x:v>0</x:v>
      </x:c>
      <x:c r="R241" s="36" t="n">
        <x:f>IF(O241=0,0,_xlfn.MAXIFS('13_검토이력'!$P$6:$P$305,'13_검토이력'!$B$6:$B$305,B241,'13_검토이력'!$P$6:$P$305,"&lt;"&amp;P241,'13_검토이력'!$O$6:$O$305,1))</x:f>
        <x:v>0</x:v>
      </x:c>
      <x:c r="S241" s="36" t="n">
        <x:f>IF(A241="",0,IF(OR(H241=TRUE,H241="TRUE",H241="true"),1,0))</x:f>
        <x:v>0</x:v>
      </x:c>
    </x:row>
    <x:row r="242" ht="20" customHeight="1">
      <x:c r="A242" s="22"/>
      <x:c r="B242" s="22"/>
      <x:c r="C242" s="22"/>
      <x:c r="D242" s="28"/>
      <x:c r="E242" s="28"/>
      <x:c r="F242" s="22"/>
      <x:c r="G242" s="22"/>
      <x:c r="H242" s="22"/>
      <x:c r="I242" s="26"/>
      <x:c r="J242" s="22"/>
      <x:c r="K242" s="26"/>
      <x:c r="L242" s="26"/>
      <x:c r="M242" s="28"/>
      <x:c r="N242" s="36" t="n">
        <x:f>IF(A242="",0,IFERROR(MATCH(F242,'17_코드북'!$A$6:$A$14,0)-1,9))</x:f>
        <x:v>0</x:v>
      </x:c>
      <x:c r="O242" s="36" t="n">
        <x:f>IF(A242="",0,IF(AND(D242&lt;='01_설정'!$B$6,E242&lt;='01_설정'!$B$7),1,0))</x:f>
        <x:v>0</x:v>
      </x:c>
      <x:c r="P242" s="36" t="n">
        <x:f>IF(A242="",0,D242*100000+C242)</x:f>
        <x:v>0</x:v>
      </x:c>
      <x:c r="Q242" s="36" t="n">
        <x:f>IF(O242=0,0,IF(OR(R242=0,N242&lt;&gt;SUMIFS('13_검토이력'!$N$6:$N$305,'13_검토이력'!$P$6:$P$305,R242)),1,0))</x:f>
        <x:v>0</x:v>
      </x:c>
      <x:c r="R242" s="36" t="n">
        <x:f>IF(O242=0,0,_xlfn.MAXIFS('13_검토이력'!$P$6:$P$305,'13_검토이력'!$B$6:$B$305,B242,'13_검토이력'!$P$6:$P$305,"&lt;"&amp;P242,'13_검토이력'!$O$6:$O$305,1))</x:f>
        <x:v>0</x:v>
      </x:c>
      <x:c r="S242" s="36" t="n">
        <x:f>IF(A242="",0,IF(OR(H242=TRUE,H242="TRUE",H242="true"),1,0))</x:f>
        <x:v>0</x:v>
      </x:c>
    </x:row>
    <x:row r="243" ht="20" customHeight="1">
      <x:c r="A243" s="22"/>
      <x:c r="B243" s="22"/>
      <x:c r="C243" s="22"/>
      <x:c r="D243" s="28"/>
      <x:c r="E243" s="28"/>
      <x:c r="F243" s="22"/>
      <x:c r="G243" s="22"/>
      <x:c r="H243" s="22"/>
      <x:c r="I243" s="26"/>
      <x:c r="J243" s="22"/>
      <x:c r="K243" s="26"/>
      <x:c r="L243" s="26"/>
      <x:c r="M243" s="28"/>
      <x:c r="N243" s="36" t="n">
        <x:f>IF(A243="",0,IFERROR(MATCH(F243,'17_코드북'!$A$6:$A$14,0)-1,9))</x:f>
        <x:v>0</x:v>
      </x:c>
      <x:c r="O243" s="36" t="n">
        <x:f>IF(A243="",0,IF(AND(D243&lt;='01_설정'!$B$6,E243&lt;='01_설정'!$B$7),1,0))</x:f>
        <x:v>0</x:v>
      </x:c>
      <x:c r="P243" s="36" t="n">
        <x:f>IF(A243="",0,D243*100000+C243)</x:f>
        <x:v>0</x:v>
      </x:c>
      <x:c r="Q243" s="36" t="n">
        <x:f>IF(O243=0,0,IF(OR(R243=0,N243&lt;&gt;SUMIFS('13_검토이력'!$N$6:$N$305,'13_검토이력'!$P$6:$P$305,R243)),1,0))</x:f>
        <x:v>0</x:v>
      </x:c>
      <x:c r="R243" s="36" t="n">
        <x:f>IF(O243=0,0,_xlfn.MAXIFS('13_검토이력'!$P$6:$P$305,'13_검토이력'!$B$6:$B$305,B243,'13_검토이력'!$P$6:$P$305,"&lt;"&amp;P243,'13_검토이력'!$O$6:$O$305,1))</x:f>
        <x:v>0</x:v>
      </x:c>
      <x:c r="S243" s="36" t="n">
        <x:f>IF(A243="",0,IF(OR(H243=TRUE,H243="TRUE",H243="true"),1,0))</x:f>
        <x:v>0</x:v>
      </x:c>
    </x:row>
    <x:row r="244" ht="20" customHeight="1">
      <x:c r="A244" s="22"/>
      <x:c r="B244" s="22"/>
      <x:c r="C244" s="22"/>
      <x:c r="D244" s="28"/>
      <x:c r="E244" s="28"/>
      <x:c r="F244" s="22"/>
      <x:c r="G244" s="22"/>
      <x:c r="H244" s="22"/>
      <x:c r="I244" s="26"/>
      <x:c r="J244" s="22"/>
      <x:c r="K244" s="26"/>
      <x:c r="L244" s="26"/>
      <x:c r="M244" s="28"/>
      <x:c r="N244" s="36" t="n">
        <x:f>IF(A244="",0,IFERROR(MATCH(F244,'17_코드북'!$A$6:$A$14,0)-1,9))</x:f>
        <x:v>0</x:v>
      </x:c>
      <x:c r="O244" s="36" t="n">
        <x:f>IF(A244="",0,IF(AND(D244&lt;='01_설정'!$B$6,E244&lt;='01_설정'!$B$7),1,0))</x:f>
        <x:v>0</x:v>
      </x:c>
      <x:c r="P244" s="36" t="n">
        <x:f>IF(A244="",0,D244*100000+C244)</x:f>
        <x:v>0</x:v>
      </x:c>
      <x:c r="Q244" s="36" t="n">
        <x:f>IF(O244=0,0,IF(OR(R244=0,N244&lt;&gt;SUMIFS('13_검토이력'!$N$6:$N$305,'13_검토이력'!$P$6:$P$305,R244)),1,0))</x:f>
        <x:v>0</x:v>
      </x:c>
      <x:c r="R244" s="36" t="n">
        <x:f>IF(O244=0,0,_xlfn.MAXIFS('13_검토이력'!$P$6:$P$305,'13_검토이력'!$B$6:$B$305,B244,'13_검토이력'!$P$6:$P$305,"&lt;"&amp;P244,'13_검토이력'!$O$6:$O$305,1))</x:f>
        <x:v>0</x:v>
      </x:c>
      <x:c r="S244" s="36" t="n">
        <x:f>IF(A244="",0,IF(OR(H244=TRUE,H244="TRUE",H244="true"),1,0))</x:f>
        <x:v>0</x:v>
      </x:c>
    </x:row>
    <x:row r="245" ht="20" customHeight="1">
      <x:c r="A245" s="22"/>
      <x:c r="B245" s="22"/>
      <x:c r="C245" s="22"/>
      <x:c r="D245" s="28"/>
      <x:c r="E245" s="28"/>
      <x:c r="F245" s="22"/>
      <x:c r="G245" s="22"/>
      <x:c r="H245" s="22"/>
      <x:c r="I245" s="26"/>
      <x:c r="J245" s="22"/>
      <x:c r="K245" s="26"/>
      <x:c r="L245" s="26"/>
      <x:c r="M245" s="28"/>
      <x:c r="N245" s="36" t="n">
        <x:f>IF(A245="",0,IFERROR(MATCH(F245,'17_코드북'!$A$6:$A$14,0)-1,9))</x:f>
        <x:v>0</x:v>
      </x:c>
      <x:c r="O245" s="36" t="n">
        <x:f>IF(A245="",0,IF(AND(D245&lt;='01_설정'!$B$6,E245&lt;='01_설정'!$B$7),1,0))</x:f>
        <x:v>0</x:v>
      </x:c>
      <x:c r="P245" s="36" t="n">
        <x:f>IF(A245="",0,D245*100000+C245)</x:f>
        <x:v>0</x:v>
      </x:c>
      <x:c r="Q245" s="36" t="n">
        <x:f>IF(O245=0,0,IF(OR(R245=0,N245&lt;&gt;SUMIFS('13_검토이력'!$N$6:$N$305,'13_검토이력'!$P$6:$P$305,R245)),1,0))</x:f>
        <x:v>0</x:v>
      </x:c>
      <x:c r="R245" s="36" t="n">
        <x:f>IF(O245=0,0,_xlfn.MAXIFS('13_검토이력'!$P$6:$P$305,'13_검토이력'!$B$6:$B$305,B245,'13_검토이력'!$P$6:$P$305,"&lt;"&amp;P245,'13_검토이력'!$O$6:$O$305,1))</x:f>
        <x:v>0</x:v>
      </x:c>
      <x:c r="S245" s="36" t="n">
        <x:f>IF(A245="",0,IF(OR(H245=TRUE,H245="TRUE",H245="true"),1,0))</x:f>
        <x:v>0</x:v>
      </x:c>
    </x:row>
    <x:row r="246" ht="20" customHeight="1">
      <x:c r="A246" s="22"/>
      <x:c r="B246" s="22"/>
      <x:c r="C246" s="22"/>
      <x:c r="D246" s="28"/>
      <x:c r="E246" s="28"/>
      <x:c r="F246" s="22"/>
      <x:c r="G246" s="22"/>
      <x:c r="H246" s="22"/>
      <x:c r="I246" s="26"/>
      <x:c r="J246" s="22"/>
      <x:c r="K246" s="26"/>
      <x:c r="L246" s="26"/>
      <x:c r="M246" s="28"/>
      <x:c r="N246" s="36" t="n">
        <x:f>IF(A246="",0,IFERROR(MATCH(F246,'17_코드북'!$A$6:$A$14,0)-1,9))</x:f>
        <x:v>0</x:v>
      </x:c>
      <x:c r="O246" s="36" t="n">
        <x:f>IF(A246="",0,IF(AND(D246&lt;='01_설정'!$B$6,E246&lt;='01_설정'!$B$7),1,0))</x:f>
        <x:v>0</x:v>
      </x:c>
      <x:c r="P246" s="36" t="n">
        <x:f>IF(A246="",0,D246*100000+C246)</x:f>
        <x:v>0</x:v>
      </x:c>
      <x:c r="Q246" s="36" t="n">
        <x:f>IF(O246=0,0,IF(OR(R246=0,N246&lt;&gt;SUMIFS('13_검토이력'!$N$6:$N$305,'13_검토이력'!$P$6:$P$305,R246)),1,0))</x:f>
        <x:v>0</x:v>
      </x:c>
      <x:c r="R246" s="36" t="n">
        <x:f>IF(O246=0,0,_xlfn.MAXIFS('13_검토이력'!$P$6:$P$305,'13_검토이력'!$B$6:$B$305,B246,'13_검토이력'!$P$6:$P$305,"&lt;"&amp;P246,'13_검토이력'!$O$6:$O$305,1))</x:f>
        <x:v>0</x:v>
      </x:c>
      <x:c r="S246" s="36" t="n">
        <x:f>IF(A246="",0,IF(OR(H246=TRUE,H246="TRUE",H246="true"),1,0))</x:f>
        <x:v>0</x:v>
      </x:c>
    </x:row>
    <x:row r="247" ht="20" customHeight="1">
      <x:c r="A247" s="22"/>
      <x:c r="B247" s="22"/>
      <x:c r="C247" s="22"/>
      <x:c r="D247" s="28"/>
      <x:c r="E247" s="28"/>
      <x:c r="F247" s="22"/>
      <x:c r="G247" s="22"/>
      <x:c r="H247" s="22"/>
      <x:c r="I247" s="26"/>
      <x:c r="J247" s="22"/>
      <x:c r="K247" s="26"/>
      <x:c r="L247" s="26"/>
      <x:c r="M247" s="28"/>
      <x:c r="N247" s="36" t="n">
        <x:f>IF(A247="",0,IFERROR(MATCH(F247,'17_코드북'!$A$6:$A$14,0)-1,9))</x:f>
        <x:v>0</x:v>
      </x:c>
      <x:c r="O247" s="36" t="n">
        <x:f>IF(A247="",0,IF(AND(D247&lt;='01_설정'!$B$6,E247&lt;='01_설정'!$B$7),1,0))</x:f>
        <x:v>0</x:v>
      </x:c>
      <x:c r="P247" s="36" t="n">
        <x:f>IF(A247="",0,D247*100000+C247)</x:f>
        <x:v>0</x:v>
      </x:c>
      <x:c r="Q247" s="36" t="n">
        <x:f>IF(O247=0,0,IF(OR(R247=0,N247&lt;&gt;SUMIFS('13_검토이력'!$N$6:$N$305,'13_검토이력'!$P$6:$P$305,R247)),1,0))</x:f>
        <x:v>0</x:v>
      </x:c>
      <x:c r="R247" s="36" t="n">
        <x:f>IF(O247=0,0,_xlfn.MAXIFS('13_검토이력'!$P$6:$P$305,'13_검토이력'!$B$6:$B$305,B247,'13_검토이력'!$P$6:$P$305,"&lt;"&amp;P247,'13_검토이력'!$O$6:$O$305,1))</x:f>
        <x:v>0</x:v>
      </x:c>
      <x:c r="S247" s="36" t="n">
        <x:f>IF(A247="",0,IF(OR(H247=TRUE,H247="TRUE",H247="true"),1,0))</x:f>
        <x:v>0</x:v>
      </x:c>
    </x:row>
    <x:row r="248" ht="20" customHeight="1">
      <x:c r="A248" s="22"/>
      <x:c r="B248" s="22"/>
      <x:c r="C248" s="22"/>
      <x:c r="D248" s="28"/>
      <x:c r="E248" s="28"/>
      <x:c r="F248" s="22"/>
      <x:c r="G248" s="22"/>
      <x:c r="H248" s="22"/>
      <x:c r="I248" s="26"/>
      <x:c r="J248" s="22"/>
      <x:c r="K248" s="26"/>
      <x:c r="L248" s="26"/>
      <x:c r="M248" s="28"/>
      <x:c r="N248" s="36" t="n">
        <x:f>IF(A248="",0,IFERROR(MATCH(F248,'17_코드북'!$A$6:$A$14,0)-1,9))</x:f>
        <x:v>0</x:v>
      </x:c>
      <x:c r="O248" s="36" t="n">
        <x:f>IF(A248="",0,IF(AND(D248&lt;='01_설정'!$B$6,E248&lt;='01_설정'!$B$7),1,0))</x:f>
        <x:v>0</x:v>
      </x:c>
      <x:c r="P248" s="36" t="n">
        <x:f>IF(A248="",0,D248*100000+C248)</x:f>
        <x:v>0</x:v>
      </x:c>
      <x:c r="Q248" s="36" t="n">
        <x:f>IF(O248=0,0,IF(OR(R248=0,N248&lt;&gt;SUMIFS('13_검토이력'!$N$6:$N$305,'13_검토이력'!$P$6:$P$305,R248)),1,0))</x:f>
        <x:v>0</x:v>
      </x:c>
      <x:c r="R248" s="36" t="n">
        <x:f>IF(O248=0,0,_xlfn.MAXIFS('13_검토이력'!$P$6:$P$305,'13_검토이력'!$B$6:$B$305,B248,'13_검토이력'!$P$6:$P$305,"&lt;"&amp;P248,'13_검토이력'!$O$6:$O$305,1))</x:f>
        <x:v>0</x:v>
      </x:c>
      <x:c r="S248" s="36" t="n">
        <x:f>IF(A248="",0,IF(OR(H248=TRUE,H248="TRUE",H248="true"),1,0))</x:f>
        <x:v>0</x:v>
      </x:c>
    </x:row>
    <x:row r="249" ht="20" customHeight="1">
      <x:c r="A249" s="22"/>
      <x:c r="B249" s="22"/>
      <x:c r="C249" s="22"/>
      <x:c r="D249" s="28"/>
      <x:c r="E249" s="28"/>
      <x:c r="F249" s="22"/>
      <x:c r="G249" s="22"/>
      <x:c r="H249" s="22"/>
      <x:c r="I249" s="26"/>
      <x:c r="J249" s="22"/>
      <x:c r="K249" s="26"/>
      <x:c r="L249" s="26"/>
      <x:c r="M249" s="28"/>
      <x:c r="N249" s="36" t="n">
        <x:f>IF(A249="",0,IFERROR(MATCH(F249,'17_코드북'!$A$6:$A$14,0)-1,9))</x:f>
        <x:v>0</x:v>
      </x:c>
      <x:c r="O249" s="36" t="n">
        <x:f>IF(A249="",0,IF(AND(D249&lt;='01_설정'!$B$6,E249&lt;='01_설정'!$B$7),1,0))</x:f>
        <x:v>0</x:v>
      </x:c>
      <x:c r="P249" s="36" t="n">
        <x:f>IF(A249="",0,D249*100000+C249)</x:f>
        <x:v>0</x:v>
      </x:c>
      <x:c r="Q249" s="36" t="n">
        <x:f>IF(O249=0,0,IF(OR(R249=0,N249&lt;&gt;SUMIFS('13_검토이력'!$N$6:$N$305,'13_검토이력'!$P$6:$P$305,R249)),1,0))</x:f>
        <x:v>0</x:v>
      </x:c>
      <x:c r="R249" s="36" t="n">
        <x:f>IF(O249=0,0,_xlfn.MAXIFS('13_검토이력'!$P$6:$P$305,'13_검토이력'!$B$6:$B$305,B249,'13_검토이력'!$P$6:$P$305,"&lt;"&amp;P249,'13_검토이력'!$O$6:$O$305,1))</x:f>
        <x:v>0</x:v>
      </x:c>
      <x:c r="S249" s="36" t="n">
        <x:f>IF(A249="",0,IF(OR(H249=TRUE,H249="TRUE",H249="true"),1,0))</x:f>
        <x:v>0</x:v>
      </x:c>
    </x:row>
    <x:row r="250" ht="20" customHeight="1">
      <x:c r="A250" s="22"/>
      <x:c r="B250" s="22"/>
      <x:c r="C250" s="22"/>
      <x:c r="D250" s="28"/>
      <x:c r="E250" s="28"/>
      <x:c r="F250" s="22"/>
      <x:c r="G250" s="22"/>
      <x:c r="H250" s="22"/>
      <x:c r="I250" s="26"/>
      <x:c r="J250" s="22"/>
      <x:c r="K250" s="26"/>
      <x:c r="L250" s="26"/>
      <x:c r="M250" s="28"/>
      <x:c r="N250" s="36" t="n">
        <x:f>IF(A250="",0,IFERROR(MATCH(F250,'17_코드북'!$A$6:$A$14,0)-1,9))</x:f>
        <x:v>0</x:v>
      </x:c>
      <x:c r="O250" s="36" t="n">
        <x:f>IF(A250="",0,IF(AND(D250&lt;='01_설정'!$B$6,E250&lt;='01_설정'!$B$7),1,0))</x:f>
        <x:v>0</x:v>
      </x:c>
      <x:c r="P250" s="36" t="n">
        <x:f>IF(A250="",0,D250*100000+C250)</x:f>
        <x:v>0</x:v>
      </x:c>
      <x:c r="Q250" s="36" t="n">
        <x:f>IF(O250=0,0,IF(OR(R250=0,N250&lt;&gt;SUMIFS('13_검토이력'!$N$6:$N$305,'13_검토이력'!$P$6:$P$305,R250)),1,0))</x:f>
        <x:v>0</x:v>
      </x:c>
      <x:c r="R250" s="36" t="n">
        <x:f>IF(O250=0,0,_xlfn.MAXIFS('13_검토이력'!$P$6:$P$305,'13_검토이력'!$B$6:$B$305,B250,'13_검토이력'!$P$6:$P$305,"&lt;"&amp;P250,'13_검토이력'!$O$6:$O$305,1))</x:f>
        <x:v>0</x:v>
      </x:c>
      <x:c r="S250" s="36" t="n">
        <x:f>IF(A250="",0,IF(OR(H250=TRUE,H250="TRUE",H250="true"),1,0))</x:f>
        <x:v>0</x:v>
      </x:c>
    </x:row>
    <x:row r="251" ht="20" customHeight="1">
      <x:c r="A251" s="22"/>
      <x:c r="B251" s="22"/>
      <x:c r="C251" s="22"/>
      <x:c r="D251" s="28"/>
      <x:c r="E251" s="28"/>
      <x:c r="F251" s="22"/>
      <x:c r="G251" s="22"/>
      <x:c r="H251" s="22"/>
      <x:c r="I251" s="26"/>
      <x:c r="J251" s="22"/>
      <x:c r="K251" s="26"/>
      <x:c r="L251" s="26"/>
      <x:c r="M251" s="28"/>
      <x:c r="N251" s="36" t="n">
        <x:f>IF(A251="",0,IFERROR(MATCH(F251,'17_코드북'!$A$6:$A$14,0)-1,9))</x:f>
        <x:v>0</x:v>
      </x:c>
      <x:c r="O251" s="36" t="n">
        <x:f>IF(A251="",0,IF(AND(D251&lt;='01_설정'!$B$6,E251&lt;='01_설정'!$B$7),1,0))</x:f>
        <x:v>0</x:v>
      </x:c>
      <x:c r="P251" s="36" t="n">
        <x:f>IF(A251="",0,D251*100000+C251)</x:f>
        <x:v>0</x:v>
      </x:c>
      <x:c r="Q251" s="36" t="n">
        <x:f>IF(O251=0,0,IF(OR(R251=0,N251&lt;&gt;SUMIFS('13_검토이력'!$N$6:$N$305,'13_검토이력'!$P$6:$P$305,R251)),1,0))</x:f>
        <x:v>0</x:v>
      </x:c>
      <x:c r="R251" s="36" t="n">
        <x:f>IF(O251=0,0,_xlfn.MAXIFS('13_검토이력'!$P$6:$P$305,'13_검토이력'!$B$6:$B$305,B251,'13_검토이력'!$P$6:$P$305,"&lt;"&amp;P251,'13_검토이력'!$O$6:$O$305,1))</x:f>
        <x:v>0</x:v>
      </x:c>
      <x:c r="S251" s="36" t="n">
        <x:f>IF(A251="",0,IF(OR(H251=TRUE,H251="TRUE",H251="true"),1,0))</x:f>
        <x:v>0</x:v>
      </x:c>
    </x:row>
    <x:row r="252" ht="20" customHeight="1">
      <x:c r="A252" s="22"/>
      <x:c r="B252" s="22"/>
      <x:c r="C252" s="22"/>
      <x:c r="D252" s="28"/>
      <x:c r="E252" s="28"/>
      <x:c r="F252" s="22"/>
      <x:c r="G252" s="22"/>
      <x:c r="H252" s="22"/>
      <x:c r="I252" s="26"/>
      <x:c r="J252" s="22"/>
      <x:c r="K252" s="26"/>
      <x:c r="L252" s="26"/>
      <x:c r="M252" s="28"/>
      <x:c r="N252" s="36" t="n">
        <x:f>IF(A252="",0,IFERROR(MATCH(F252,'17_코드북'!$A$6:$A$14,0)-1,9))</x:f>
        <x:v>0</x:v>
      </x:c>
      <x:c r="O252" s="36" t="n">
        <x:f>IF(A252="",0,IF(AND(D252&lt;='01_설정'!$B$6,E252&lt;='01_설정'!$B$7),1,0))</x:f>
        <x:v>0</x:v>
      </x:c>
      <x:c r="P252" s="36" t="n">
        <x:f>IF(A252="",0,D252*100000+C252)</x:f>
        <x:v>0</x:v>
      </x:c>
      <x:c r="Q252" s="36" t="n">
        <x:f>IF(O252=0,0,IF(OR(R252=0,N252&lt;&gt;SUMIFS('13_검토이력'!$N$6:$N$305,'13_검토이력'!$P$6:$P$305,R252)),1,0))</x:f>
        <x:v>0</x:v>
      </x:c>
      <x:c r="R252" s="36" t="n">
        <x:f>IF(O252=0,0,_xlfn.MAXIFS('13_검토이력'!$P$6:$P$305,'13_검토이력'!$B$6:$B$305,B252,'13_검토이력'!$P$6:$P$305,"&lt;"&amp;P252,'13_검토이력'!$O$6:$O$305,1))</x:f>
        <x:v>0</x:v>
      </x:c>
      <x:c r="S252" s="36" t="n">
        <x:f>IF(A252="",0,IF(OR(H252=TRUE,H252="TRUE",H252="true"),1,0))</x:f>
        <x:v>0</x:v>
      </x:c>
    </x:row>
    <x:row r="253" ht="20" customHeight="1">
      <x:c r="A253" s="22"/>
      <x:c r="B253" s="22"/>
      <x:c r="C253" s="22"/>
      <x:c r="D253" s="28"/>
      <x:c r="E253" s="28"/>
      <x:c r="F253" s="22"/>
      <x:c r="G253" s="22"/>
      <x:c r="H253" s="22"/>
      <x:c r="I253" s="26"/>
      <x:c r="J253" s="22"/>
      <x:c r="K253" s="26"/>
      <x:c r="L253" s="26"/>
      <x:c r="M253" s="28"/>
      <x:c r="N253" s="36" t="n">
        <x:f>IF(A253="",0,IFERROR(MATCH(F253,'17_코드북'!$A$6:$A$14,0)-1,9))</x:f>
        <x:v>0</x:v>
      </x:c>
      <x:c r="O253" s="36" t="n">
        <x:f>IF(A253="",0,IF(AND(D253&lt;='01_설정'!$B$6,E253&lt;='01_설정'!$B$7),1,0))</x:f>
        <x:v>0</x:v>
      </x:c>
      <x:c r="P253" s="36" t="n">
        <x:f>IF(A253="",0,D253*100000+C253)</x:f>
        <x:v>0</x:v>
      </x:c>
      <x:c r="Q253" s="36" t="n">
        <x:f>IF(O253=0,0,IF(OR(R253=0,N253&lt;&gt;SUMIFS('13_검토이력'!$N$6:$N$305,'13_검토이력'!$P$6:$P$305,R253)),1,0))</x:f>
        <x:v>0</x:v>
      </x:c>
      <x:c r="R253" s="36" t="n">
        <x:f>IF(O253=0,0,_xlfn.MAXIFS('13_검토이력'!$P$6:$P$305,'13_검토이력'!$B$6:$B$305,B253,'13_검토이력'!$P$6:$P$305,"&lt;"&amp;P253,'13_검토이력'!$O$6:$O$305,1))</x:f>
        <x:v>0</x:v>
      </x:c>
      <x:c r="S253" s="36" t="n">
        <x:f>IF(A253="",0,IF(OR(H253=TRUE,H253="TRUE",H253="true"),1,0))</x:f>
        <x:v>0</x:v>
      </x:c>
    </x:row>
    <x:row r="254" ht="20" customHeight="1">
      <x:c r="A254" s="22"/>
      <x:c r="B254" s="22"/>
      <x:c r="C254" s="22"/>
      <x:c r="D254" s="28"/>
      <x:c r="E254" s="28"/>
      <x:c r="F254" s="22"/>
      <x:c r="G254" s="22"/>
      <x:c r="H254" s="22"/>
      <x:c r="I254" s="26"/>
      <x:c r="J254" s="22"/>
      <x:c r="K254" s="26"/>
      <x:c r="L254" s="26"/>
      <x:c r="M254" s="28"/>
      <x:c r="N254" s="36" t="n">
        <x:f>IF(A254="",0,IFERROR(MATCH(F254,'17_코드북'!$A$6:$A$14,0)-1,9))</x:f>
        <x:v>0</x:v>
      </x:c>
      <x:c r="O254" s="36" t="n">
        <x:f>IF(A254="",0,IF(AND(D254&lt;='01_설정'!$B$6,E254&lt;='01_설정'!$B$7),1,0))</x:f>
        <x:v>0</x:v>
      </x:c>
      <x:c r="P254" s="36" t="n">
        <x:f>IF(A254="",0,D254*100000+C254)</x:f>
        <x:v>0</x:v>
      </x:c>
      <x:c r="Q254" s="36" t="n">
        <x:f>IF(O254=0,0,IF(OR(R254=0,N254&lt;&gt;SUMIFS('13_검토이력'!$N$6:$N$305,'13_검토이력'!$P$6:$P$305,R254)),1,0))</x:f>
        <x:v>0</x:v>
      </x:c>
      <x:c r="R254" s="36" t="n">
        <x:f>IF(O254=0,0,_xlfn.MAXIFS('13_검토이력'!$P$6:$P$305,'13_검토이력'!$B$6:$B$305,B254,'13_검토이력'!$P$6:$P$305,"&lt;"&amp;P254,'13_검토이력'!$O$6:$O$305,1))</x:f>
        <x:v>0</x:v>
      </x:c>
      <x:c r="S254" s="36" t="n">
        <x:f>IF(A254="",0,IF(OR(H254=TRUE,H254="TRUE",H254="true"),1,0))</x:f>
        <x:v>0</x:v>
      </x:c>
    </x:row>
    <x:row r="255" ht="20" customHeight="1">
      <x:c r="A255" s="22"/>
      <x:c r="B255" s="22"/>
      <x:c r="C255" s="22"/>
      <x:c r="D255" s="28"/>
      <x:c r="E255" s="28"/>
      <x:c r="F255" s="22"/>
      <x:c r="G255" s="22"/>
      <x:c r="H255" s="22"/>
      <x:c r="I255" s="26"/>
      <x:c r="J255" s="22"/>
      <x:c r="K255" s="26"/>
      <x:c r="L255" s="26"/>
      <x:c r="M255" s="28"/>
      <x:c r="N255" s="36" t="n">
        <x:f>IF(A255="",0,IFERROR(MATCH(F255,'17_코드북'!$A$6:$A$14,0)-1,9))</x:f>
        <x:v>0</x:v>
      </x:c>
      <x:c r="O255" s="36" t="n">
        <x:f>IF(A255="",0,IF(AND(D255&lt;='01_설정'!$B$6,E255&lt;='01_설정'!$B$7),1,0))</x:f>
        <x:v>0</x:v>
      </x:c>
      <x:c r="P255" s="36" t="n">
        <x:f>IF(A255="",0,D255*100000+C255)</x:f>
        <x:v>0</x:v>
      </x:c>
      <x:c r="Q255" s="36" t="n">
        <x:f>IF(O255=0,0,IF(OR(R255=0,N255&lt;&gt;SUMIFS('13_검토이력'!$N$6:$N$305,'13_검토이력'!$P$6:$P$305,R255)),1,0))</x:f>
        <x:v>0</x:v>
      </x:c>
      <x:c r="R255" s="36" t="n">
        <x:f>IF(O255=0,0,_xlfn.MAXIFS('13_검토이력'!$P$6:$P$305,'13_검토이력'!$B$6:$B$305,B255,'13_검토이력'!$P$6:$P$305,"&lt;"&amp;P255,'13_검토이력'!$O$6:$O$305,1))</x:f>
        <x:v>0</x:v>
      </x:c>
      <x:c r="S255" s="36" t="n">
        <x:f>IF(A255="",0,IF(OR(H255=TRUE,H255="TRUE",H255="true"),1,0))</x:f>
        <x:v>0</x:v>
      </x:c>
    </x:row>
    <x:row r="256" ht="20" customHeight="1">
      <x:c r="A256" s="22"/>
      <x:c r="B256" s="22"/>
      <x:c r="C256" s="22"/>
      <x:c r="D256" s="28"/>
      <x:c r="E256" s="28"/>
      <x:c r="F256" s="22"/>
      <x:c r="G256" s="22"/>
      <x:c r="H256" s="22"/>
      <x:c r="I256" s="26"/>
      <x:c r="J256" s="22"/>
      <x:c r="K256" s="26"/>
      <x:c r="L256" s="26"/>
      <x:c r="M256" s="28"/>
      <x:c r="N256" s="36" t="n">
        <x:f>IF(A256="",0,IFERROR(MATCH(F256,'17_코드북'!$A$6:$A$14,0)-1,9))</x:f>
        <x:v>0</x:v>
      </x:c>
      <x:c r="O256" s="36" t="n">
        <x:f>IF(A256="",0,IF(AND(D256&lt;='01_설정'!$B$6,E256&lt;='01_설정'!$B$7),1,0))</x:f>
        <x:v>0</x:v>
      </x:c>
      <x:c r="P256" s="36" t="n">
        <x:f>IF(A256="",0,D256*100000+C256)</x:f>
        <x:v>0</x:v>
      </x:c>
      <x:c r="Q256" s="36" t="n">
        <x:f>IF(O256=0,0,IF(OR(R256=0,N256&lt;&gt;SUMIFS('13_검토이력'!$N$6:$N$305,'13_검토이력'!$P$6:$P$305,R256)),1,0))</x:f>
        <x:v>0</x:v>
      </x:c>
      <x:c r="R256" s="36" t="n">
        <x:f>IF(O256=0,0,_xlfn.MAXIFS('13_검토이력'!$P$6:$P$305,'13_검토이력'!$B$6:$B$305,B256,'13_검토이력'!$P$6:$P$305,"&lt;"&amp;P256,'13_검토이력'!$O$6:$O$305,1))</x:f>
        <x:v>0</x:v>
      </x:c>
      <x:c r="S256" s="36" t="n">
        <x:f>IF(A256="",0,IF(OR(H256=TRUE,H256="TRUE",H256="true"),1,0))</x:f>
        <x:v>0</x:v>
      </x:c>
    </x:row>
    <x:row r="257" ht="20" customHeight="1">
      <x:c r="A257" s="22"/>
      <x:c r="B257" s="22"/>
      <x:c r="C257" s="22"/>
      <x:c r="D257" s="28"/>
      <x:c r="E257" s="28"/>
      <x:c r="F257" s="22"/>
      <x:c r="G257" s="22"/>
      <x:c r="H257" s="22"/>
      <x:c r="I257" s="26"/>
      <x:c r="J257" s="22"/>
      <x:c r="K257" s="26"/>
      <x:c r="L257" s="26"/>
      <x:c r="M257" s="28"/>
      <x:c r="N257" s="36" t="n">
        <x:f>IF(A257="",0,IFERROR(MATCH(F257,'17_코드북'!$A$6:$A$14,0)-1,9))</x:f>
        <x:v>0</x:v>
      </x:c>
      <x:c r="O257" s="36" t="n">
        <x:f>IF(A257="",0,IF(AND(D257&lt;='01_설정'!$B$6,E257&lt;='01_설정'!$B$7),1,0))</x:f>
        <x:v>0</x:v>
      </x:c>
      <x:c r="P257" s="36" t="n">
        <x:f>IF(A257="",0,D257*100000+C257)</x:f>
        <x:v>0</x:v>
      </x:c>
      <x:c r="Q257" s="36" t="n">
        <x:f>IF(O257=0,0,IF(OR(R257=0,N257&lt;&gt;SUMIFS('13_검토이력'!$N$6:$N$305,'13_검토이력'!$P$6:$P$305,R257)),1,0))</x:f>
        <x:v>0</x:v>
      </x:c>
      <x:c r="R257" s="36" t="n">
        <x:f>IF(O257=0,0,_xlfn.MAXIFS('13_검토이력'!$P$6:$P$305,'13_검토이력'!$B$6:$B$305,B257,'13_검토이력'!$P$6:$P$305,"&lt;"&amp;P257,'13_검토이력'!$O$6:$O$305,1))</x:f>
        <x:v>0</x:v>
      </x:c>
      <x:c r="S257" s="36" t="n">
        <x:f>IF(A257="",0,IF(OR(H257=TRUE,H257="TRUE",H257="true"),1,0))</x:f>
        <x:v>0</x:v>
      </x:c>
    </x:row>
    <x:row r="258" ht="20" customHeight="1">
      <x:c r="A258" s="22"/>
      <x:c r="B258" s="22"/>
      <x:c r="C258" s="22"/>
      <x:c r="D258" s="28"/>
      <x:c r="E258" s="28"/>
      <x:c r="F258" s="22"/>
      <x:c r="G258" s="22"/>
      <x:c r="H258" s="22"/>
      <x:c r="I258" s="26"/>
      <x:c r="J258" s="22"/>
      <x:c r="K258" s="26"/>
      <x:c r="L258" s="26"/>
      <x:c r="M258" s="28"/>
      <x:c r="N258" s="36" t="n">
        <x:f>IF(A258="",0,IFERROR(MATCH(F258,'17_코드북'!$A$6:$A$14,0)-1,9))</x:f>
        <x:v>0</x:v>
      </x:c>
      <x:c r="O258" s="36" t="n">
        <x:f>IF(A258="",0,IF(AND(D258&lt;='01_설정'!$B$6,E258&lt;='01_설정'!$B$7),1,0))</x:f>
        <x:v>0</x:v>
      </x:c>
      <x:c r="P258" s="36" t="n">
        <x:f>IF(A258="",0,D258*100000+C258)</x:f>
        <x:v>0</x:v>
      </x:c>
      <x:c r="Q258" s="36" t="n">
        <x:f>IF(O258=0,0,IF(OR(R258=0,N258&lt;&gt;SUMIFS('13_검토이력'!$N$6:$N$305,'13_검토이력'!$P$6:$P$305,R258)),1,0))</x:f>
        <x:v>0</x:v>
      </x:c>
      <x:c r="R258" s="36" t="n">
        <x:f>IF(O258=0,0,_xlfn.MAXIFS('13_검토이력'!$P$6:$P$305,'13_검토이력'!$B$6:$B$305,B258,'13_검토이력'!$P$6:$P$305,"&lt;"&amp;P258,'13_검토이력'!$O$6:$O$305,1))</x:f>
        <x:v>0</x:v>
      </x:c>
      <x:c r="S258" s="36" t="n">
        <x:f>IF(A258="",0,IF(OR(H258=TRUE,H258="TRUE",H258="true"),1,0))</x:f>
        <x:v>0</x:v>
      </x:c>
    </x:row>
    <x:row r="259" ht="20" customHeight="1">
      <x:c r="A259" s="22"/>
      <x:c r="B259" s="22"/>
      <x:c r="C259" s="22"/>
      <x:c r="D259" s="28"/>
      <x:c r="E259" s="28"/>
      <x:c r="F259" s="22"/>
      <x:c r="G259" s="22"/>
      <x:c r="H259" s="22"/>
      <x:c r="I259" s="26"/>
      <x:c r="J259" s="22"/>
      <x:c r="K259" s="26"/>
      <x:c r="L259" s="26"/>
      <x:c r="M259" s="28"/>
      <x:c r="N259" s="36" t="n">
        <x:f>IF(A259="",0,IFERROR(MATCH(F259,'17_코드북'!$A$6:$A$14,0)-1,9))</x:f>
        <x:v>0</x:v>
      </x:c>
      <x:c r="O259" s="36" t="n">
        <x:f>IF(A259="",0,IF(AND(D259&lt;='01_설정'!$B$6,E259&lt;='01_설정'!$B$7),1,0))</x:f>
        <x:v>0</x:v>
      </x:c>
      <x:c r="P259" s="36" t="n">
        <x:f>IF(A259="",0,D259*100000+C259)</x:f>
        <x:v>0</x:v>
      </x:c>
      <x:c r="Q259" s="36" t="n">
        <x:f>IF(O259=0,0,IF(OR(R259=0,N259&lt;&gt;SUMIFS('13_검토이력'!$N$6:$N$305,'13_검토이력'!$P$6:$P$305,R259)),1,0))</x:f>
        <x:v>0</x:v>
      </x:c>
      <x:c r="R259" s="36" t="n">
        <x:f>IF(O259=0,0,_xlfn.MAXIFS('13_검토이력'!$P$6:$P$305,'13_검토이력'!$B$6:$B$305,B259,'13_검토이력'!$P$6:$P$305,"&lt;"&amp;P259,'13_검토이력'!$O$6:$O$305,1))</x:f>
        <x:v>0</x:v>
      </x:c>
      <x:c r="S259" s="36" t="n">
        <x:f>IF(A259="",0,IF(OR(H259=TRUE,H259="TRUE",H259="true"),1,0))</x:f>
        <x:v>0</x:v>
      </x:c>
    </x:row>
    <x:row r="260" ht="20" customHeight="1">
      <x:c r="A260" s="22"/>
      <x:c r="B260" s="22"/>
      <x:c r="C260" s="22"/>
      <x:c r="D260" s="28"/>
      <x:c r="E260" s="28"/>
      <x:c r="F260" s="22"/>
      <x:c r="G260" s="22"/>
      <x:c r="H260" s="22"/>
      <x:c r="I260" s="26"/>
      <x:c r="J260" s="22"/>
      <x:c r="K260" s="26"/>
      <x:c r="L260" s="26"/>
      <x:c r="M260" s="28"/>
      <x:c r="N260" s="36" t="n">
        <x:f>IF(A260="",0,IFERROR(MATCH(F260,'17_코드북'!$A$6:$A$14,0)-1,9))</x:f>
        <x:v>0</x:v>
      </x:c>
      <x:c r="O260" s="36" t="n">
        <x:f>IF(A260="",0,IF(AND(D260&lt;='01_설정'!$B$6,E260&lt;='01_설정'!$B$7),1,0))</x:f>
        <x:v>0</x:v>
      </x:c>
      <x:c r="P260" s="36" t="n">
        <x:f>IF(A260="",0,D260*100000+C260)</x:f>
        <x:v>0</x:v>
      </x:c>
      <x:c r="Q260" s="36" t="n">
        <x:f>IF(O260=0,0,IF(OR(R260=0,N260&lt;&gt;SUMIFS('13_검토이력'!$N$6:$N$305,'13_검토이력'!$P$6:$P$305,R260)),1,0))</x:f>
        <x:v>0</x:v>
      </x:c>
      <x:c r="R260" s="36" t="n">
        <x:f>IF(O260=0,0,_xlfn.MAXIFS('13_검토이력'!$P$6:$P$305,'13_검토이력'!$B$6:$B$305,B260,'13_검토이력'!$P$6:$P$305,"&lt;"&amp;P260,'13_검토이력'!$O$6:$O$305,1))</x:f>
        <x:v>0</x:v>
      </x:c>
      <x:c r="S260" s="36" t="n">
        <x:f>IF(A260="",0,IF(OR(H260=TRUE,H260="TRUE",H260="true"),1,0))</x:f>
        <x:v>0</x:v>
      </x:c>
    </x:row>
    <x:row r="261" ht="20" customHeight="1">
      <x:c r="A261" s="22"/>
      <x:c r="B261" s="22"/>
      <x:c r="C261" s="22"/>
      <x:c r="D261" s="28"/>
      <x:c r="E261" s="28"/>
      <x:c r="F261" s="22"/>
      <x:c r="G261" s="22"/>
      <x:c r="H261" s="22"/>
      <x:c r="I261" s="26"/>
      <x:c r="J261" s="22"/>
      <x:c r="K261" s="26"/>
      <x:c r="L261" s="26"/>
      <x:c r="M261" s="28"/>
      <x:c r="N261" s="36" t="n">
        <x:f>IF(A261="",0,IFERROR(MATCH(F261,'17_코드북'!$A$6:$A$14,0)-1,9))</x:f>
        <x:v>0</x:v>
      </x:c>
      <x:c r="O261" s="36" t="n">
        <x:f>IF(A261="",0,IF(AND(D261&lt;='01_설정'!$B$6,E261&lt;='01_설정'!$B$7),1,0))</x:f>
        <x:v>0</x:v>
      </x:c>
      <x:c r="P261" s="36" t="n">
        <x:f>IF(A261="",0,D261*100000+C261)</x:f>
        <x:v>0</x:v>
      </x:c>
      <x:c r="Q261" s="36" t="n">
        <x:f>IF(O261=0,0,IF(OR(R261=0,N261&lt;&gt;SUMIFS('13_검토이력'!$N$6:$N$305,'13_검토이력'!$P$6:$P$305,R261)),1,0))</x:f>
        <x:v>0</x:v>
      </x:c>
      <x:c r="R261" s="36" t="n">
        <x:f>IF(O261=0,0,_xlfn.MAXIFS('13_검토이력'!$P$6:$P$305,'13_검토이력'!$B$6:$B$305,B261,'13_검토이력'!$P$6:$P$305,"&lt;"&amp;P261,'13_검토이력'!$O$6:$O$305,1))</x:f>
        <x:v>0</x:v>
      </x:c>
      <x:c r="S261" s="36" t="n">
        <x:f>IF(A261="",0,IF(OR(H261=TRUE,H261="TRUE",H261="true"),1,0))</x:f>
        <x:v>0</x:v>
      </x:c>
    </x:row>
    <x:row r="262" ht="20" customHeight="1">
      <x:c r="A262" s="22"/>
      <x:c r="B262" s="22"/>
      <x:c r="C262" s="22"/>
      <x:c r="D262" s="28"/>
      <x:c r="E262" s="28"/>
      <x:c r="F262" s="22"/>
      <x:c r="G262" s="22"/>
      <x:c r="H262" s="22"/>
      <x:c r="I262" s="26"/>
      <x:c r="J262" s="22"/>
      <x:c r="K262" s="26"/>
      <x:c r="L262" s="26"/>
      <x:c r="M262" s="28"/>
      <x:c r="N262" s="36" t="n">
        <x:f>IF(A262="",0,IFERROR(MATCH(F262,'17_코드북'!$A$6:$A$14,0)-1,9))</x:f>
        <x:v>0</x:v>
      </x:c>
      <x:c r="O262" s="36" t="n">
        <x:f>IF(A262="",0,IF(AND(D262&lt;='01_설정'!$B$6,E262&lt;='01_설정'!$B$7),1,0))</x:f>
        <x:v>0</x:v>
      </x:c>
      <x:c r="P262" s="36" t="n">
        <x:f>IF(A262="",0,D262*100000+C262)</x:f>
        <x:v>0</x:v>
      </x:c>
      <x:c r="Q262" s="36" t="n">
        <x:f>IF(O262=0,0,IF(OR(R262=0,N262&lt;&gt;SUMIFS('13_검토이력'!$N$6:$N$305,'13_검토이력'!$P$6:$P$305,R262)),1,0))</x:f>
        <x:v>0</x:v>
      </x:c>
      <x:c r="R262" s="36" t="n">
        <x:f>IF(O262=0,0,_xlfn.MAXIFS('13_검토이력'!$P$6:$P$305,'13_검토이력'!$B$6:$B$305,B262,'13_검토이력'!$P$6:$P$305,"&lt;"&amp;P262,'13_검토이력'!$O$6:$O$305,1))</x:f>
        <x:v>0</x:v>
      </x:c>
      <x:c r="S262" s="36" t="n">
        <x:f>IF(A262="",0,IF(OR(H262=TRUE,H262="TRUE",H262="true"),1,0))</x:f>
        <x:v>0</x:v>
      </x:c>
    </x:row>
    <x:row r="263" ht="20" customHeight="1">
      <x:c r="A263" s="22"/>
      <x:c r="B263" s="22"/>
      <x:c r="C263" s="22"/>
      <x:c r="D263" s="28"/>
      <x:c r="E263" s="28"/>
      <x:c r="F263" s="22"/>
      <x:c r="G263" s="22"/>
      <x:c r="H263" s="22"/>
      <x:c r="I263" s="26"/>
      <x:c r="J263" s="22"/>
      <x:c r="K263" s="26"/>
      <x:c r="L263" s="26"/>
      <x:c r="M263" s="28"/>
      <x:c r="N263" s="36" t="n">
        <x:f>IF(A263="",0,IFERROR(MATCH(F263,'17_코드북'!$A$6:$A$14,0)-1,9))</x:f>
        <x:v>0</x:v>
      </x:c>
      <x:c r="O263" s="36" t="n">
        <x:f>IF(A263="",0,IF(AND(D263&lt;='01_설정'!$B$6,E263&lt;='01_설정'!$B$7),1,0))</x:f>
        <x:v>0</x:v>
      </x:c>
      <x:c r="P263" s="36" t="n">
        <x:f>IF(A263="",0,D263*100000+C263)</x:f>
        <x:v>0</x:v>
      </x:c>
      <x:c r="Q263" s="36" t="n">
        <x:f>IF(O263=0,0,IF(OR(R263=0,N263&lt;&gt;SUMIFS('13_검토이력'!$N$6:$N$305,'13_검토이력'!$P$6:$P$305,R263)),1,0))</x:f>
        <x:v>0</x:v>
      </x:c>
      <x:c r="R263" s="36" t="n">
        <x:f>IF(O263=0,0,_xlfn.MAXIFS('13_검토이력'!$P$6:$P$305,'13_검토이력'!$B$6:$B$305,B263,'13_검토이력'!$P$6:$P$305,"&lt;"&amp;P263,'13_검토이력'!$O$6:$O$305,1))</x:f>
        <x:v>0</x:v>
      </x:c>
      <x:c r="S263" s="36" t="n">
        <x:f>IF(A263="",0,IF(OR(H263=TRUE,H263="TRUE",H263="true"),1,0))</x:f>
        <x:v>0</x:v>
      </x:c>
    </x:row>
    <x:row r="264" ht="20" customHeight="1">
      <x:c r="A264" s="22"/>
      <x:c r="B264" s="22"/>
      <x:c r="C264" s="22"/>
      <x:c r="D264" s="28"/>
      <x:c r="E264" s="28"/>
      <x:c r="F264" s="22"/>
      <x:c r="G264" s="22"/>
      <x:c r="H264" s="22"/>
      <x:c r="I264" s="26"/>
      <x:c r="J264" s="22"/>
      <x:c r="K264" s="26"/>
      <x:c r="L264" s="26"/>
      <x:c r="M264" s="28"/>
      <x:c r="N264" s="36" t="n">
        <x:f>IF(A264="",0,IFERROR(MATCH(F264,'17_코드북'!$A$6:$A$14,0)-1,9))</x:f>
        <x:v>0</x:v>
      </x:c>
      <x:c r="O264" s="36" t="n">
        <x:f>IF(A264="",0,IF(AND(D264&lt;='01_설정'!$B$6,E264&lt;='01_설정'!$B$7),1,0))</x:f>
        <x:v>0</x:v>
      </x:c>
      <x:c r="P264" s="36" t="n">
        <x:f>IF(A264="",0,D264*100000+C264)</x:f>
        <x:v>0</x:v>
      </x:c>
      <x:c r="Q264" s="36" t="n">
        <x:f>IF(O264=0,0,IF(OR(R264=0,N264&lt;&gt;SUMIFS('13_검토이력'!$N$6:$N$305,'13_검토이력'!$P$6:$P$305,R264)),1,0))</x:f>
        <x:v>0</x:v>
      </x:c>
      <x:c r="R264" s="36" t="n">
        <x:f>IF(O264=0,0,_xlfn.MAXIFS('13_검토이력'!$P$6:$P$305,'13_검토이력'!$B$6:$B$305,B264,'13_검토이력'!$P$6:$P$305,"&lt;"&amp;P264,'13_검토이력'!$O$6:$O$305,1))</x:f>
        <x:v>0</x:v>
      </x:c>
      <x:c r="S264" s="36" t="n">
        <x:f>IF(A264="",0,IF(OR(H264=TRUE,H264="TRUE",H264="true"),1,0))</x:f>
        <x:v>0</x:v>
      </x:c>
    </x:row>
    <x:row r="265" ht="20" customHeight="1">
      <x:c r="A265" s="22"/>
      <x:c r="B265" s="22"/>
      <x:c r="C265" s="22"/>
      <x:c r="D265" s="28"/>
      <x:c r="E265" s="28"/>
      <x:c r="F265" s="22"/>
      <x:c r="G265" s="22"/>
      <x:c r="H265" s="22"/>
      <x:c r="I265" s="26"/>
      <x:c r="J265" s="22"/>
      <x:c r="K265" s="26"/>
      <x:c r="L265" s="26"/>
      <x:c r="M265" s="28"/>
      <x:c r="N265" s="36" t="n">
        <x:f>IF(A265="",0,IFERROR(MATCH(F265,'17_코드북'!$A$6:$A$14,0)-1,9))</x:f>
        <x:v>0</x:v>
      </x:c>
      <x:c r="O265" s="36" t="n">
        <x:f>IF(A265="",0,IF(AND(D265&lt;='01_설정'!$B$6,E265&lt;='01_설정'!$B$7),1,0))</x:f>
        <x:v>0</x:v>
      </x:c>
      <x:c r="P265" s="36" t="n">
        <x:f>IF(A265="",0,D265*100000+C265)</x:f>
        <x:v>0</x:v>
      </x:c>
      <x:c r="Q265" s="36" t="n">
        <x:f>IF(O265=0,0,IF(OR(R265=0,N265&lt;&gt;SUMIFS('13_검토이력'!$N$6:$N$305,'13_검토이력'!$P$6:$P$305,R265)),1,0))</x:f>
        <x:v>0</x:v>
      </x:c>
      <x:c r="R265" s="36" t="n">
        <x:f>IF(O265=0,0,_xlfn.MAXIFS('13_검토이력'!$P$6:$P$305,'13_검토이력'!$B$6:$B$305,B265,'13_검토이력'!$P$6:$P$305,"&lt;"&amp;P265,'13_검토이력'!$O$6:$O$305,1))</x:f>
        <x:v>0</x:v>
      </x:c>
      <x:c r="S265" s="36" t="n">
        <x:f>IF(A265="",0,IF(OR(H265=TRUE,H265="TRUE",H265="true"),1,0))</x:f>
        <x:v>0</x:v>
      </x:c>
    </x:row>
    <x:row r="266" ht="20" customHeight="1">
      <x:c r="A266" s="22"/>
      <x:c r="B266" s="22"/>
      <x:c r="C266" s="22"/>
      <x:c r="D266" s="28"/>
      <x:c r="E266" s="28"/>
      <x:c r="F266" s="22"/>
      <x:c r="G266" s="22"/>
      <x:c r="H266" s="22"/>
      <x:c r="I266" s="26"/>
      <x:c r="J266" s="22"/>
      <x:c r="K266" s="26"/>
      <x:c r="L266" s="26"/>
      <x:c r="M266" s="28"/>
      <x:c r="N266" s="36" t="n">
        <x:f>IF(A266="",0,IFERROR(MATCH(F266,'17_코드북'!$A$6:$A$14,0)-1,9))</x:f>
        <x:v>0</x:v>
      </x:c>
      <x:c r="O266" s="36" t="n">
        <x:f>IF(A266="",0,IF(AND(D266&lt;='01_설정'!$B$6,E266&lt;='01_설정'!$B$7),1,0))</x:f>
        <x:v>0</x:v>
      </x:c>
      <x:c r="P266" s="36" t="n">
        <x:f>IF(A266="",0,D266*100000+C266)</x:f>
        <x:v>0</x:v>
      </x:c>
      <x:c r="Q266" s="36" t="n">
        <x:f>IF(O266=0,0,IF(OR(R266=0,N266&lt;&gt;SUMIFS('13_검토이력'!$N$6:$N$305,'13_검토이력'!$P$6:$P$305,R266)),1,0))</x:f>
        <x:v>0</x:v>
      </x:c>
      <x:c r="R266" s="36" t="n">
        <x:f>IF(O266=0,0,_xlfn.MAXIFS('13_검토이력'!$P$6:$P$305,'13_검토이력'!$B$6:$B$305,B266,'13_검토이력'!$P$6:$P$305,"&lt;"&amp;P266,'13_검토이력'!$O$6:$O$305,1))</x:f>
        <x:v>0</x:v>
      </x:c>
      <x:c r="S266" s="36" t="n">
        <x:f>IF(A266="",0,IF(OR(H266=TRUE,H266="TRUE",H266="true"),1,0))</x:f>
        <x:v>0</x:v>
      </x:c>
    </x:row>
    <x:row r="267" ht="20" customHeight="1">
      <x:c r="A267" s="22"/>
      <x:c r="B267" s="22"/>
      <x:c r="C267" s="22"/>
      <x:c r="D267" s="28"/>
      <x:c r="E267" s="28"/>
      <x:c r="F267" s="22"/>
      <x:c r="G267" s="22"/>
      <x:c r="H267" s="22"/>
      <x:c r="I267" s="26"/>
      <x:c r="J267" s="22"/>
      <x:c r="K267" s="26"/>
      <x:c r="L267" s="26"/>
      <x:c r="M267" s="28"/>
      <x:c r="N267" s="36" t="n">
        <x:f>IF(A267="",0,IFERROR(MATCH(F267,'17_코드북'!$A$6:$A$14,0)-1,9))</x:f>
        <x:v>0</x:v>
      </x:c>
      <x:c r="O267" s="36" t="n">
        <x:f>IF(A267="",0,IF(AND(D267&lt;='01_설정'!$B$6,E267&lt;='01_설정'!$B$7),1,0))</x:f>
        <x:v>0</x:v>
      </x:c>
      <x:c r="P267" s="36" t="n">
        <x:f>IF(A267="",0,D267*100000+C267)</x:f>
        <x:v>0</x:v>
      </x:c>
      <x:c r="Q267" s="36" t="n">
        <x:f>IF(O267=0,0,IF(OR(R267=0,N267&lt;&gt;SUMIFS('13_검토이력'!$N$6:$N$305,'13_검토이력'!$P$6:$P$305,R267)),1,0))</x:f>
        <x:v>0</x:v>
      </x:c>
      <x:c r="R267" s="36" t="n">
        <x:f>IF(O267=0,0,_xlfn.MAXIFS('13_검토이력'!$P$6:$P$305,'13_검토이력'!$B$6:$B$305,B267,'13_검토이력'!$P$6:$P$305,"&lt;"&amp;P267,'13_검토이력'!$O$6:$O$305,1))</x:f>
        <x:v>0</x:v>
      </x:c>
      <x:c r="S267" s="36" t="n">
        <x:f>IF(A267="",0,IF(OR(H267=TRUE,H267="TRUE",H267="true"),1,0))</x:f>
        <x:v>0</x:v>
      </x:c>
    </x:row>
    <x:row r="268" ht="20" customHeight="1">
      <x:c r="A268" s="22"/>
      <x:c r="B268" s="22"/>
      <x:c r="C268" s="22"/>
      <x:c r="D268" s="28"/>
      <x:c r="E268" s="28"/>
      <x:c r="F268" s="22"/>
      <x:c r="G268" s="22"/>
      <x:c r="H268" s="22"/>
      <x:c r="I268" s="26"/>
      <x:c r="J268" s="22"/>
      <x:c r="K268" s="26"/>
      <x:c r="L268" s="26"/>
      <x:c r="M268" s="28"/>
      <x:c r="N268" s="36" t="n">
        <x:f>IF(A268="",0,IFERROR(MATCH(F268,'17_코드북'!$A$6:$A$14,0)-1,9))</x:f>
        <x:v>0</x:v>
      </x:c>
      <x:c r="O268" s="36" t="n">
        <x:f>IF(A268="",0,IF(AND(D268&lt;='01_설정'!$B$6,E268&lt;='01_설정'!$B$7),1,0))</x:f>
        <x:v>0</x:v>
      </x:c>
      <x:c r="P268" s="36" t="n">
        <x:f>IF(A268="",0,D268*100000+C268)</x:f>
        <x:v>0</x:v>
      </x:c>
      <x:c r="Q268" s="36" t="n">
        <x:f>IF(O268=0,0,IF(OR(R268=0,N268&lt;&gt;SUMIFS('13_검토이력'!$N$6:$N$305,'13_검토이력'!$P$6:$P$305,R268)),1,0))</x:f>
        <x:v>0</x:v>
      </x:c>
      <x:c r="R268" s="36" t="n">
        <x:f>IF(O268=0,0,_xlfn.MAXIFS('13_검토이력'!$P$6:$P$305,'13_검토이력'!$B$6:$B$305,B268,'13_검토이력'!$P$6:$P$305,"&lt;"&amp;P268,'13_검토이력'!$O$6:$O$305,1))</x:f>
        <x:v>0</x:v>
      </x:c>
      <x:c r="S268" s="36" t="n">
        <x:f>IF(A268="",0,IF(OR(H268=TRUE,H268="TRUE",H268="true"),1,0))</x:f>
        <x:v>0</x:v>
      </x:c>
    </x:row>
    <x:row r="269" ht="20" customHeight="1">
      <x:c r="A269" s="22"/>
      <x:c r="B269" s="22"/>
      <x:c r="C269" s="22"/>
      <x:c r="D269" s="28"/>
      <x:c r="E269" s="28"/>
      <x:c r="F269" s="22"/>
      <x:c r="G269" s="22"/>
      <x:c r="H269" s="22"/>
      <x:c r="I269" s="26"/>
      <x:c r="J269" s="22"/>
      <x:c r="K269" s="26"/>
      <x:c r="L269" s="26"/>
      <x:c r="M269" s="28"/>
      <x:c r="N269" s="36" t="n">
        <x:f>IF(A269="",0,IFERROR(MATCH(F269,'17_코드북'!$A$6:$A$14,0)-1,9))</x:f>
        <x:v>0</x:v>
      </x:c>
      <x:c r="O269" s="36" t="n">
        <x:f>IF(A269="",0,IF(AND(D269&lt;='01_설정'!$B$6,E269&lt;='01_설정'!$B$7),1,0))</x:f>
        <x:v>0</x:v>
      </x:c>
      <x:c r="P269" s="36" t="n">
        <x:f>IF(A269="",0,D269*100000+C269)</x:f>
        <x:v>0</x:v>
      </x:c>
      <x:c r="Q269" s="36" t="n">
        <x:f>IF(O269=0,0,IF(OR(R269=0,N269&lt;&gt;SUMIFS('13_검토이력'!$N$6:$N$305,'13_검토이력'!$P$6:$P$305,R269)),1,0))</x:f>
        <x:v>0</x:v>
      </x:c>
      <x:c r="R269" s="36" t="n">
        <x:f>IF(O269=0,0,_xlfn.MAXIFS('13_검토이력'!$P$6:$P$305,'13_검토이력'!$B$6:$B$305,B269,'13_검토이력'!$P$6:$P$305,"&lt;"&amp;P269,'13_검토이력'!$O$6:$O$305,1))</x:f>
        <x:v>0</x:v>
      </x:c>
      <x:c r="S269" s="36" t="n">
        <x:f>IF(A269="",0,IF(OR(H269=TRUE,H269="TRUE",H269="true"),1,0))</x:f>
        <x:v>0</x:v>
      </x:c>
    </x:row>
    <x:row r="270" ht="20" customHeight="1">
      <x:c r="A270" s="22"/>
      <x:c r="B270" s="22"/>
      <x:c r="C270" s="22"/>
      <x:c r="D270" s="28"/>
      <x:c r="E270" s="28"/>
      <x:c r="F270" s="22"/>
      <x:c r="G270" s="22"/>
      <x:c r="H270" s="22"/>
      <x:c r="I270" s="26"/>
      <x:c r="J270" s="22"/>
      <x:c r="K270" s="26"/>
      <x:c r="L270" s="26"/>
      <x:c r="M270" s="28"/>
      <x:c r="N270" s="36" t="n">
        <x:f>IF(A270="",0,IFERROR(MATCH(F270,'17_코드북'!$A$6:$A$14,0)-1,9))</x:f>
        <x:v>0</x:v>
      </x:c>
      <x:c r="O270" s="36" t="n">
        <x:f>IF(A270="",0,IF(AND(D270&lt;='01_설정'!$B$6,E270&lt;='01_설정'!$B$7),1,0))</x:f>
        <x:v>0</x:v>
      </x:c>
      <x:c r="P270" s="36" t="n">
        <x:f>IF(A270="",0,D270*100000+C270)</x:f>
        <x:v>0</x:v>
      </x:c>
      <x:c r="Q270" s="36" t="n">
        <x:f>IF(O270=0,0,IF(OR(R270=0,N270&lt;&gt;SUMIFS('13_검토이력'!$N$6:$N$305,'13_검토이력'!$P$6:$P$305,R270)),1,0))</x:f>
        <x:v>0</x:v>
      </x:c>
      <x:c r="R270" s="36" t="n">
        <x:f>IF(O270=0,0,_xlfn.MAXIFS('13_검토이력'!$P$6:$P$305,'13_검토이력'!$B$6:$B$305,B270,'13_검토이력'!$P$6:$P$305,"&lt;"&amp;P270,'13_검토이력'!$O$6:$O$305,1))</x:f>
        <x:v>0</x:v>
      </x:c>
      <x:c r="S270" s="36" t="n">
        <x:f>IF(A270="",0,IF(OR(H270=TRUE,H270="TRUE",H270="true"),1,0))</x:f>
        <x:v>0</x:v>
      </x:c>
    </x:row>
    <x:row r="271" ht="20" customHeight="1">
      <x:c r="A271" s="22"/>
      <x:c r="B271" s="22"/>
      <x:c r="C271" s="22"/>
      <x:c r="D271" s="28"/>
      <x:c r="E271" s="28"/>
      <x:c r="F271" s="22"/>
      <x:c r="G271" s="22"/>
      <x:c r="H271" s="22"/>
      <x:c r="I271" s="26"/>
      <x:c r="J271" s="22"/>
      <x:c r="K271" s="26"/>
      <x:c r="L271" s="26"/>
      <x:c r="M271" s="28"/>
      <x:c r="N271" s="36" t="n">
        <x:f>IF(A271="",0,IFERROR(MATCH(F271,'17_코드북'!$A$6:$A$14,0)-1,9))</x:f>
        <x:v>0</x:v>
      </x:c>
      <x:c r="O271" s="36" t="n">
        <x:f>IF(A271="",0,IF(AND(D271&lt;='01_설정'!$B$6,E271&lt;='01_설정'!$B$7),1,0))</x:f>
        <x:v>0</x:v>
      </x:c>
      <x:c r="P271" s="36" t="n">
        <x:f>IF(A271="",0,D271*100000+C271)</x:f>
        <x:v>0</x:v>
      </x:c>
      <x:c r="Q271" s="36" t="n">
        <x:f>IF(O271=0,0,IF(OR(R271=0,N271&lt;&gt;SUMIFS('13_검토이력'!$N$6:$N$305,'13_검토이력'!$P$6:$P$305,R271)),1,0))</x:f>
        <x:v>0</x:v>
      </x:c>
      <x:c r="R271" s="36" t="n">
        <x:f>IF(O271=0,0,_xlfn.MAXIFS('13_검토이력'!$P$6:$P$305,'13_검토이력'!$B$6:$B$305,B271,'13_검토이력'!$P$6:$P$305,"&lt;"&amp;P271,'13_검토이력'!$O$6:$O$305,1))</x:f>
        <x:v>0</x:v>
      </x:c>
      <x:c r="S271" s="36" t="n">
        <x:f>IF(A271="",0,IF(OR(H271=TRUE,H271="TRUE",H271="true"),1,0))</x:f>
        <x:v>0</x:v>
      </x:c>
    </x:row>
    <x:row r="272" ht="20" customHeight="1">
      <x:c r="A272" s="22"/>
      <x:c r="B272" s="22"/>
      <x:c r="C272" s="22"/>
      <x:c r="D272" s="28"/>
      <x:c r="E272" s="28"/>
      <x:c r="F272" s="22"/>
      <x:c r="G272" s="22"/>
      <x:c r="H272" s="22"/>
      <x:c r="I272" s="26"/>
      <x:c r="J272" s="22"/>
      <x:c r="K272" s="26"/>
      <x:c r="L272" s="26"/>
      <x:c r="M272" s="28"/>
      <x:c r="N272" s="36" t="n">
        <x:f>IF(A272="",0,IFERROR(MATCH(F272,'17_코드북'!$A$6:$A$14,0)-1,9))</x:f>
        <x:v>0</x:v>
      </x:c>
      <x:c r="O272" s="36" t="n">
        <x:f>IF(A272="",0,IF(AND(D272&lt;='01_설정'!$B$6,E272&lt;='01_설정'!$B$7),1,0))</x:f>
        <x:v>0</x:v>
      </x:c>
      <x:c r="P272" s="36" t="n">
        <x:f>IF(A272="",0,D272*100000+C272)</x:f>
        <x:v>0</x:v>
      </x:c>
      <x:c r="Q272" s="36" t="n">
        <x:f>IF(O272=0,0,IF(OR(R272=0,N272&lt;&gt;SUMIFS('13_검토이력'!$N$6:$N$305,'13_검토이력'!$P$6:$P$305,R272)),1,0))</x:f>
        <x:v>0</x:v>
      </x:c>
      <x:c r="R272" s="36" t="n">
        <x:f>IF(O272=0,0,_xlfn.MAXIFS('13_검토이력'!$P$6:$P$305,'13_검토이력'!$B$6:$B$305,B272,'13_검토이력'!$P$6:$P$305,"&lt;"&amp;P272,'13_검토이력'!$O$6:$O$305,1))</x:f>
        <x:v>0</x:v>
      </x:c>
      <x:c r="S272" s="36" t="n">
        <x:f>IF(A272="",0,IF(OR(H272=TRUE,H272="TRUE",H272="true"),1,0))</x:f>
        <x:v>0</x:v>
      </x:c>
    </x:row>
    <x:row r="273" ht="20" customHeight="1">
      <x:c r="A273" s="22"/>
      <x:c r="B273" s="22"/>
      <x:c r="C273" s="22"/>
      <x:c r="D273" s="28"/>
      <x:c r="E273" s="28"/>
      <x:c r="F273" s="22"/>
      <x:c r="G273" s="22"/>
      <x:c r="H273" s="22"/>
      <x:c r="I273" s="26"/>
      <x:c r="J273" s="22"/>
      <x:c r="K273" s="26"/>
      <x:c r="L273" s="26"/>
      <x:c r="M273" s="28"/>
      <x:c r="N273" s="36" t="n">
        <x:f>IF(A273="",0,IFERROR(MATCH(F273,'17_코드북'!$A$6:$A$14,0)-1,9))</x:f>
        <x:v>0</x:v>
      </x:c>
      <x:c r="O273" s="36" t="n">
        <x:f>IF(A273="",0,IF(AND(D273&lt;='01_설정'!$B$6,E273&lt;='01_설정'!$B$7),1,0))</x:f>
        <x:v>0</x:v>
      </x:c>
      <x:c r="P273" s="36" t="n">
        <x:f>IF(A273="",0,D273*100000+C273)</x:f>
        <x:v>0</x:v>
      </x:c>
      <x:c r="Q273" s="36" t="n">
        <x:f>IF(O273=0,0,IF(OR(R273=0,N273&lt;&gt;SUMIFS('13_검토이력'!$N$6:$N$305,'13_검토이력'!$P$6:$P$305,R273)),1,0))</x:f>
        <x:v>0</x:v>
      </x:c>
      <x:c r="R273" s="36" t="n">
        <x:f>IF(O273=0,0,_xlfn.MAXIFS('13_검토이력'!$P$6:$P$305,'13_검토이력'!$B$6:$B$305,B273,'13_검토이력'!$P$6:$P$305,"&lt;"&amp;P273,'13_검토이력'!$O$6:$O$305,1))</x:f>
        <x:v>0</x:v>
      </x:c>
      <x:c r="S273" s="36" t="n">
        <x:f>IF(A273="",0,IF(OR(H273=TRUE,H273="TRUE",H273="true"),1,0))</x:f>
        <x:v>0</x:v>
      </x:c>
    </x:row>
    <x:row r="274" ht="20" customHeight="1">
      <x:c r="A274" s="22"/>
      <x:c r="B274" s="22"/>
      <x:c r="C274" s="22"/>
      <x:c r="D274" s="28"/>
      <x:c r="E274" s="28"/>
      <x:c r="F274" s="22"/>
      <x:c r="G274" s="22"/>
      <x:c r="H274" s="22"/>
      <x:c r="I274" s="26"/>
      <x:c r="J274" s="22"/>
      <x:c r="K274" s="26"/>
      <x:c r="L274" s="26"/>
      <x:c r="M274" s="28"/>
      <x:c r="N274" s="36" t="n">
        <x:f>IF(A274="",0,IFERROR(MATCH(F274,'17_코드북'!$A$6:$A$14,0)-1,9))</x:f>
        <x:v>0</x:v>
      </x:c>
      <x:c r="O274" s="36" t="n">
        <x:f>IF(A274="",0,IF(AND(D274&lt;='01_설정'!$B$6,E274&lt;='01_설정'!$B$7),1,0))</x:f>
        <x:v>0</x:v>
      </x:c>
      <x:c r="P274" s="36" t="n">
        <x:f>IF(A274="",0,D274*100000+C274)</x:f>
        <x:v>0</x:v>
      </x:c>
      <x:c r="Q274" s="36" t="n">
        <x:f>IF(O274=0,0,IF(OR(R274=0,N274&lt;&gt;SUMIFS('13_검토이력'!$N$6:$N$305,'13_검토이력'!$P$6:$P$305,R274)),1,0))</x:f>
        <x:v>0</x:v>
      </x:c>
      <x:c r="R274" s="36" t="n">
        <x:f>IF(O274=0,0,_xlfn.MAXIFS('13_검토이력'!$P$6:$P$305,'13_검토이력'!$B$6:$B$305,B274,'13_검토이력'!$P$6:$P$305,"&lt;"&amp;P274,'13_검토이력'!$O$6:$O$305,1))</x:f>
        <x:v>0</x:v>
      </x:c>
      <x:c r="S274" s="36" t="n">
        <x:f>IF(A274="",0,IF(OR(H274=TRUE,H274="TRUE",H274="true"),1,0))</x:f>
        <x:v>0</x:v>
      </x:c>
    </x:row>
    <x:row r="275" ht="20" customHeight="1">
      <x:c r="A275" s="22"/>
      <x:c r="B275" s="22"/>
      <x:c r="C275" s="22"/>
      <x:c r="D275" s="28"/>
      <x:c r="E275" s="28"/>
      <x:c r="F275" s="22"/>
      <x:c r="G275" s="22"/>
      <x:c r="H275" s="22"/>
      <x:c r="I275" s="26"/>
      <x:c r="J275" s="22"/>
      <x:c r="K275" s="26"/>
      <x:c r="L275" s="26"/>
      <x:c r="M275" s="28"/>
      <x:c r="N275" s="36" t="n">
        <x:f>IF(A275="",0,IFERROR(MATCH(F275,'17_코드북'!$A$6:$A$14,0)-1,9))</x:f>
        <x:v>0</x:v>
      </x:c>
      <x:c r="O275" s="36" t="n">
        <x:f>IF(A275="",0,IF(AND(D275&lt;='01_설정'!$B$6,E275&lt;='01_설정'!$B$7),1,0))</x:f>
        <x:v>0</x:v>
      </x:c>
      <x:c r="P275" s="36" t="n">
        <x:f>IF(A275="",0,D275*100000+C275)</x:f>
        <x:v>0</x:v>
      </x:c>
      <x:c r="Q275" s="36" t="n">
        <x:f>IF(O275=0,0,IF(OR(R275=0,N275&lt;&gt;SUMIFS('13_검토이력'!$N$6:$N$305,'13_검토이력'!$P$6:$P$305,R275)),1,0))</x:f>
        <x:v>0</x:v>
      </x:c>
      <x:c r="R275" s="36" t="n">
        <x:f>IF(O275=0,0,_xlfn.MAXIFS('13_검토이력'!$P$6:$P$305,'13_검토이력'!$B$6:$B$305,B275,'13_검토이력'!$P$6:$P$305,"&lt;"&amp;P275,'13_검토이력'!$O$6:$O$305,1))</x:f>
        <x:v>0</x:v>
      </x:c>
      <x:c r="S275" s="36" t="n">
        <x:f>IF(A275="",0,IF(OR(H275=TRUE,H275="TRUE",H275="true"),1,0))</x:f>
        <x:v>0</x:v>
      </x:c>
    </x:row>
    <x:row r="276" ht="20" customHeight="1">
      <x:c r="A276" s="22"/>
      <x:c r="B276" s="22"/>
      <x:c r="C276" s="22"/>
      <x:c r="D276" s="28"/>
      <x:c r="E276" s="28"/>
      <x:c r="F276" s="22"/>
      <x:c r="G276" s="22"/>
      <x:c r="H276" s="22"/>
      <x:c r="I276" s="26"/>
      <x:c r="J276" s="22"/>
      <x:c r="K276" s="26"/>
      <x:c r="L276" s="26"/>
      <x:c r="M276" s="28"/>
      <x:c r="N276" s="36" t="n">
        <x:f>IF(A276="",0,IFERROR(MATCH(F276,'17_코드북'!$A$6:$A$14,0)-1,9))</x:f>
        <x:v>0</x:v>
      </x:c>
      <x:c r="O276" s="36" t="n">
        <x:f>IF(A276="",0,IF(AND(D276&lt;='01_설정'!$B$6,E276&lt;='01_설정'!$B$7),1,0))</x:f>
        <x:v>0</x:v>
      </x:c>
      <x:c r="P276" s="36" t="n">
        <x:f>IF(A276="",0,D276*100000+C276)</x:f>
        <x:v>0</x:v>
      </x:c>
      <x:c r="Q276" s="36" t="n">
        <x:f>IF(O276=0,0,IF(OR(R276=0,N276&lt;&gt;SUMIFS('13_검토이력'!$N$6:$N$305,'13_검토이력'!$P$6:$P$305,R276)),1,0))</x:f>
        <x:v>0</x:v>
      </x:c>
      <x:c r="R276" s="36" t="n">
        <x:f>IF(O276=0,0,_xlfn.MAXIFS('13_검토이력'!$P$6:$P$305,'13_검토이력'!$B$6:$B$305,B276,'13_검토이력'!$P$6:$P$305,"&lt;"&amp;P276,'13_검토이력'!$O$6:$O$305,1))</x:f>
        <x:v>0</x:v>
      </x:c>
      <x:c r="S276" s="36" t="n">
        <x:f>IF(A276="",0,IF(OR(H276=TRUE,H276="TRUE",H276="true"),1,0))</x:f>
        <x:v>0</x:v>
      </x:c>
    </x:row>
    <x:row r="277" ht="20" customHeight="1">
      <x:c r="A277" s="22"/>
      <x:c r="B277" s="22"/>
      <x:c r="C277" s="22"/>
      <x:c r="D277" s="28"/>
      <x:c r="E277" s="28"/>
      <x:c r="F277" s="22"/>
      <x:c r="G277" s="22"/>
      <x:c r="H277" s="22"/>
      <x:c r="I277" s="26"/>
      <x:c r="J277" s="22"/>
      <x:c r="K277" s="26"/>
      <x:c r="L277" s="26"/>
      <x:c r="M277" s="28"/>
      <x:c r="N277" s="36" t="n">
        <x:f>IF(A277="",0,IFERROR(MATCH(F277,'17_코드북'!$A$6:$A$14,0)-1,9))</x:f>
        <x:v>0</x:v>
      </x:c>
      <x:c r="O277" s="36" t="n">
        <x:f>IF(A277="",0,IF(AND(D277&lt;='01_설정'!$B$6,E277&lt;='01_설정'!$B$7),1,0))</x:f>
        <x:v>0</x:v>
      </x:c>
      <x:c r="P277" s="36" t="n">
        <x:f>IF(A277="",0,D277*100000+C277)</x:f>
        <x:v>0</x:v>
      </x:c>
      <x:c r="Q277" s="36" t="n">
        <x:f>IF(O277=0,0,IF(OR(R277=0,N277&lt;&gt;SUMIFS('13_검토이력'!$N$6:$N$305,'13_검토이력'!$P$6:$P$305,R277)),1,0))</x:f>
        <x:v>0</x:v>
      </x:c>
      <x:c r="R277" s="36" t="n">
        <x:f>IF(O277=0,0,_xlfn.MAXIFS('13_검토이력'!$P$6:$P$305,'13_검토이력'!$B$6:$B$305,B277,'13_검토이력'!$P$6:$P$305,"&lt;"&amp;P277,'13_검토이력'!$O$6:$O$305,1))</x:f>
        <x:v>0</x:v>
      </x:c>
      <x:c r="S277" s="36" t="n">
        <x:f>IF(A277="",0,IF(OR(H277=TRUE,H277="TRUE",H277="true"),1,0))</x:f>
        <x:v>0</x:v>
      </x:c>
    </x:row>
    <x:row r="278" ht="20" customHeight="1">
      <x:c r="A278" s="22"/>
      <x:c r="B278" s="22"/>
      <x:c r="C278" s="22"/>
      <x:c r="D278" s="28"/>
      <x:c r="E278" s="28"/>
      <x:c r="F278" s="22"/>
      <x:c r="G278" s="22"/>
      <x:c r="H278" s="22"/>
      <x:c r="I278" s="26"/>
      <x:c r="J278" s="22"/>
      <x:c r="K278" s="26"/>
      <x:c r="L278" s="26"/>
      <x:c r="M278" s="28"/>
      <x:c r="N278" s="36" t="n">
        <x:f>IF(A278="",0,IFERROR(MATCH(F278,'17_코드북'!$A$6:$A$14,0)-1,9))</x:f>
        <x:v>0</x:v>
      </x:c>
      <x:c r="O278" s="36" t="n">
        <x:f>IF(A278="",0,IF(AND(D278&lt;='01_설정'!$B$6,E278&lt;='01_설정'!$B$7),1,0))</x:f>
        <x:v>0</x:v>
      </x:c>
      <x:c r="P278" s="36" t="n">
        <x:f>IF(A278="",0,D278*100000+C278)</x:f>
        <x:v>0</x:v>
      </x:c>
      <x:c r="Q278" s="36" t="n">
        <x:f>IF(O278=0,0,IF(OR(R278=0,N278&lt;&gt;SUMIFS('13_검토이력'!$N$6:$N$305,'13_검토이력'!$P$6:$P$305,R278)),1,0))</x:f>
        <x:v>0</x:v>
      </x:c>
      <x:c r="R278" s="36" t="n">
        <x:f>IF(O278=0,0,_xlfn.MAXIFS('13_검토이력'!$P$6:$P$305,'13_검토이력'!$B$6:$B$305,B278,'13_검토이력'!$P$6:$P$305,"&lt;"&amp;P278,'13_검토이력'!$O$6:$O$305,1))</x:f>
        <x:v>0</x:v>
      </x:c>
      <x:c r="S278" s="36" t="n">
        <x:f>IF(A278="",0,IF(OR(H278=TRUE,H278="TRUE",H278="true"),1,0))</x:f>
        <x:v>0</x:v>
      </x:c>
    </x:row>
    <x:row r="279" ht="20" customHeight="1">
      <x:c r="A279" s="22"/>
      <x:c r="B279" s="22"/>
      <x:c r="C279" s="22"/>
      <x:c r="D279" s="28"/>
      <x:c r="E279" s="28"/>
      <x:c r="F279" s="22"/>
      <x:c r="G279" s="22"/>
      <x:c r="H279" s="22"/>
      <x:c r="I279" s="26"/>
      <x:c r="J279" s="22"/>
      <x:c r="K279" s="26"/>
      <x:c r="L279" s="26"/>
      <x:c r="M279" s="28"/>
      <x:c r="N279" s="36" t="n">
        <x:f>IF(A279="",0,IFERROR(MATCH(F279,'17_코드북'!$A$6:$A$14,0)-1,9))</x:f>
        <x:v>0</x:v>
      </x:c>
      <x:c r="O279" s="36" t="n">
        <x:f>IF(A279="",0,IF(AND(D279&lt;='01_설정'!$B$6,E279&lt;='01_설정'!$B$7),1,0))</x:f>
        <x:v>0</x:v>
      </x:c>
      <x:c r="P279" s="36" t="n">
        <x:f>IF(A279="",0,D279*100000+C279)</x:f>
        <x:v>0</x:v>
      </x:c>
      <x:c r="Q279" s="36" t="n">
        <x:f>IF(O279=0,0,IF(OR(R279=0,N279&lt;&gt;SUMIFS('13_검토이력'!$N$6:$N$305,'13_검토이력'!$P$6:$P$305,R279)),1,0))</x:f>
        <x:v>0</x:v>
      </x:c>
      <x:c r="R279" s="36" t="n">
        <x:f>IF(O279=0,0,_xlfn.MAXIFS('13_검토이력'!$P$6:$P$305,'13_검토이력'!$B$6:$B$305,B279,'13_검토이력'!$P$6:$P$305,"&lt;"&amp;P279,'13_검토이력'!$O$6:$O$305,1))</x:f>
        <x:v>0</x:v>
      </x:c>
      <x:c r="S279" s="36" t="n">
        <x:f>IF(A279="",0,IF(OR(H279=TRUE,H279="TRUE",H279="true"),1,0))</x:f>
        <x:v>0</x:v>
      </x:c>
    </x:row>
    <x:row r="280" ht="20" customHeight="1">
      <x:c r="A280" s="22"/>
      <x:c r="B280" s="22"/>
      <x:c r="C280" s="22"/>
      <x:c r="D280" s="28"/>
      <x:c r="E280" s="28"/>
      <x:c r="F280" s="22"/>
      <x:c r="G280" s="22"/>
      <x:c r="H280" s="22"/>
      <x:c r="I280" s="26"/>
      <x:c r="J280" s="22"/>
      <x:c r="K280" s="26"/>
      <x:c r="L280" s="26"/>
      <x:c r="M280" s="28"/>
      <x:c r="N280" s="36" t="n">
        <x:f>IF(A280="",0,IFERROR(MATCH(F280,'17_코드북'!$A$6:$A$14,0)-1,9))</x:f>
        <x:v>0</x:v>
      </x:c>
      <x:c r="O280" s="36" t="n">
        <x:f>IF(A280="",0,IF(AND(D280&lt;='01_설정'!$B$6,E280&lt;='01_설정'!$B$7),1,0))</x:f>
        <x:v>0</x:v>
      </x:c>
      <x:c r="P280" s="36" t="n">
        <x:f>IF(A280="",0,D280*100000+C280)</x:f>
        <x:v>0</x:v>
      </x:c>
      <x:c r="Q280" s="36" t="n">
        <x:f>IF(O280=0,0,IF(OR(R280=0,N280&lt;&gt;SUMIFS('13_검토이력'!$N$6:$N$305,'13_검토이력'!$P$6:$P$305,R280)),1,0))</x:f>
        <x:v>0</x:v>
      </x:c>
      <x:c r="R280" s="36" t="n">
        <x:f>IF(O280=0,0,_xlfn.MAXIFS('13_검토이력'!$P$6:$P$305,'13_검토이력'!$B$6:$B$305,B280,'13_검토이력'!$P$6:$P$305,"&lt;"&amp;P280,'13_검토이력'!$O$6:$O$305,1))</x:f>
        <x:v>0</x:v>
      </x:c>
      <x:c r="S280" s="36" t="n">
        <x:f>IF(A280="",0,IF(OR(H280=TRUE,H280="TRUE",H280="true"),1,0))</x:f>
        <x:v>0</x:v>
      </x:c>
    </x:row>
    <x:row r="281" ht="20" customHeight="1">
      <x:c r="A281" s="22"/>
      <x:c r="B281" s="22"/>
      <x:c r="C281" s="22"/>
      <x:c r="D281" s="28"/>
      <x:c r="E281" s="28"/>
      <x:c r="F281" s="22"/>
      <x:c r="G281" s="22"/>
      <x:c r="H281" s="22"/>
      <x:c r="I281" s="26"/>
      <x:c r="J281" s="22"/>
      <x:c r="K281" s="26"/>
      <x:c r="L281" s="26"/>
      <x:c r="M281" s="28"/>
      <x:c r="N281" s="36" t="n">
        <x:f>IF(A281="",0,IFERROR(MATCH(F281,'17_코드북'!$A$6:$A$14,0)-1,9))</x:f>
        <x:v>0</x:v>
      </x:c>
      <x:c r="O281" s="36" t="n">
        <x:f>IF(A281="",0,IF(AND(D281&lt;='01_설정'!$B$6,E281&lt;='01_설정'!$B$7),1,0))</x:f>
        <x:v>0</x:v>
      </x:c>
      <x:c r="P281" s="36" t="n">
        <x:f>IF(A281="",0,D281*100000+C281)</x:f>
        <x:v>0</x:v>
      </x:c>
      <x:c r="Q281" s="36" t="n">
        <x:f>IF(O281=0,0,IF(OR(R281=0,N281&lt;&gt;SUMIFS('13_검토이력'!$N$6:$N$305,'13_검토이력'!$P$6:$P$305,R281)),1,0))</x:f>
        <x:v>0</x:v>
      </x:c>
      <x:c r="R281" s="36" t="n">
        <x:f>IF(O281=0,0,_xlfn.MAXIFS('13_검토이력'!$P$6:$P$305,'13_검토이력'!$B$6:$B$305,B281,'13_검토이력'!$P$6:$P$305,"&lt;"&amp;P281,'13_검토이력'!$O$6:$O$305,1))</x:f>
        <x:v>0</x:v>
      </x:c>
      <x:c r="S281" s="36" t="n">
        <x:f>IF(A281="",0,IF(OR(H281=TRUE,H281="TRUE",H281="true"),1,0))</x:f>
        <x:v>0</x:v>
      </x:c>
    </x:row>
    <x:row r="282" ht="20" customHeight="1">
      <x:c r="A282" s="22"/>
      <x:c r="B282" s="22"/>
      <x:c r="C282" s="22"/>
      <x:c r="D282" s="28"/>
      <x:c r="E282" s="28"/>
      <x:c r="F282" s="22"/>
      <x:c r="G282" s="22"/>
      <x:c r="H282" s="22"/>
      <x:c r="I282" s="26"/>
      <x:c r="J282" s="22"/>
      <x:c r="K282" s="26"/>
      <x:c r="L282" s="26"/>
      <x:c r="M282" s="28"/>
      <x:c r="N282" s="36" t="n">
        <x:f>IF(A282="",0,IFERROR(MATCH(F282,'17_코드북'!$A$6:$A$14,0)-1,9))</x:f>
        <x:v>0</x:v>
      </x:c>
      <x:c r="O282" s="36" t="n">
        <x:f>IF(A282="",0,IF(AND(D282&lt;='01_설정'!$B$6,E282&lt;='01_설정'!$B$7),1,0))</x:f>
        <x:v>0</x:v>
      </x:c>
      <x:c r="P282" s="36" t="n">
        <x:f>IF(A282="",0,D282*100000+C282)</x:f>
        <x:v>0</x:v>
      </x:c>
      <x:c r="Q282" s="36" t="n">
        <x:f>IF(O282=0,0,IF(OR(R282=0,N282&lt;&gt;SUMIFS('13_검토이력'!$N$6:$N$305,'13_검토이력'!$P$6:$P$305,R282)),1,0))</x:f>
        <x:v>0</x:v>
      </x:c>
      <x:c r="R282" s="36" t="n">
        <x:f>IF(O282=0,0,_xlfn.MAXIFS('13_검토이력'!$P$6:$P$305,'13_검토이력'!$B$6:$B$305,B282,'13_검토이력'!$P$6:$P$305,"&lt;"&amp;P282,'13_검토이력'!$O$6:$O$305,1))</x:f>
        <x:v>0</x:v>
      </x:c>
      <x:c r="S282" s="36" t="n">
        <x:f>IF(A282="",0,IF(OR(H282=TRUE,H282="TRUE",H282="true"),1,0))</x:f>
        <x:v>0</x:v>
      </x:c>
    </x:row>
    <x:row r="283" ht="20" customHeight="1">
      <x:c r="A283" s="22"/>
      <x:c r="B283" s="22"/>
      <x:c r="C283" s="22"/>
      <x:c r="D283" s="28"/>
      <x:c r="E283" s="28"/>
      <x:c r="F283" s="22"/>
      <x:c r="G283" s="22"/>
      <x:c r="H283" s="22"/>
      <x:c r="I283" s="26"/>
      <x:c r="J283" s="22"/>
      <x:c r="K283" s="26"/>
      <x:c r="L283" s="26"/>
      <x:c r="M283" s="28"/>
      <x:c r="N283" s="36" t="n">
        <x:f>IF(A283="",0,IFERROR(MATCH(F283,'17_코드북'!$A$6:$A$14,0)-1,9))</x:f>
        <x:v>0</x:v>
      </x:c>
      <x:c r="O283" s="36" t="n">
        <x:f>IF(A283="",0,IF(AND(D283&lt;='01_설정'!$B$6,E283&lt;='01_설정'!$B$7),1,0))</x:f>
        <x:v>0</x:v>
      </x:c>
      <x:c r="P283" s="36" t="n">
        <x:f>IF(A283="",0,D283*100000+C283)</x:f>
        <x:v>0</x:v>
      </x:c>
      <x:c r="Q283" s="36" t="n">
        <x:f>IF(O283=0,0,IF(OR(R283=0,N283&lt;&gt;SUMIFS('13_검토이력'!$N$6:$N$305,'13_검토이력'!$P$6:$P$305,R283)),1,0))</x:f>
        <x:v>0</x:v>
      </x:c>
      <x:c r="R283" s="36" t="n">
        <x:f>IF(O283=0,0,_xlfn.MAXIFS('13_검토이력'!$P$6:$P$305,'13_검토이력'!$B$6:$B$305,B283,'13_검토이력'!$P$6:$P$305,"&lt;"&amp;P283,'13_검토이력'!$O$6:$O$305,1))</x:f>
        <x:v>0</x:v>
      </x:c>
      <x:c r="S283" s="36" t="n">
        <x:f>IF(A283="",0,IF(OR(H283=TRUE,H283="TRUE",H283="true"),1,0))</x:f>
        <x:v>0</x:v>
      </x:c>
    </x:row>
    <x:row r="284" ht="20" customHeight="1">
      <x:c r="A284" s="22"/>
      <x:c r="B284" s="22"/>
      <x:c r="C284" s="22"/>
      <x:c r="D284" s="28"/>
      <x:c r="E284" s="28"/>
      <x:c r="F284" s="22"/>
      <x:c r="G284" s="22"/>
      <x:c r="H284" s="22"/>
      <x:c r="I284" s="26"/>
      <x:c r="J284" s="22"/>
      <x:c r="K284" s="26"/>
      <x:c r="L284" s="26"/>
      <x:c r="M284" s="28"/>
      <x:c r="N284" s="36" t="n">
        <x:f>IF(A284="",0,IFERROR(MATCH(F284,'17_코드북'!$A$6:$A$14,0)-1,9))</x:f>
        <x:v>0</x:v>
      </x:c>
      <x:c r="O284" s="36" t="n">
        <x:f>IF(A284="",0,IF(AND(D284&lt;='01_설정'!$B$6,E284&lt;='01_설정'!$B$7),1,0))</x:f>
        <x:v>0</x:v>
      </x:c>
      <x:c r="P284" s="36" t="n">
        <x:f>IF(A284="",0,D284*100000+C284)</x:f>
        <x:v>0</x:v>
      </x:c>
      <x:c r="Q284" s="36" t="n">
        <x:f>IF(O284=0,0,IF(OR(R284=0,N284&lt;&gt;SUMIFS('13_검토이력'!$N$6:$N$305,'13_검토이력'!$P$6:$P$305,R284)),1,0))</x:f>
        <x:v>0</x:v>
      </x:c>
      <x:c r="R284" s="36" t="n">
        <x:f>IF(O284=0,0,_xlfn.MAXIFS('13_검토이력'!$P$6:$P$305,'13_검토이력'!$B$6:$B$305,B284,'13_검토이력'!$P$6:$P$305,"&lt;"&amp;P284,'13_검토이력'!$O$6:$O$305,1))</x:f>
        <x:v>0</x:v>
      </x:c>
      <x:c r="S284" s="36" t="n">
        <x:f>IF(A284="",0,IF(OR(H284=TRUE,H284="TRUE",H284="true"),1,0))</x:f>
        <x:v>0</x:v>
      </x:c>
    </x:row>
    <x:row r="285" ht="20" customHeight="1">
      <x:c r="A285" s="22"/>
      <x:c r="B285" s="22"/>
      <x:c r="C285" s="22"/>
      <x:c r="D285" s="28"/>
      <x:c r="E285" s="28"/>
      <x:c r="F285" s="22"/>
      <x:c r="G285" s="22"/>
      <x:c r="H285" s="22"/>
      <x:c r="I285" s="26"/>
      <x:c r="J285" s="22"/>
      <x:c r="K285" s="26"/>
      <x:c r="L285" s="26"/>
      <x:c r="M285" s="28"/>
      <x:c r="N285" s="36" t="n">
        <x:f>IF(A285="",0,IFERROR(MATCH(F285,'17_코드북'!$A$6:$A$14,0)-1,9))</x:f>
        <x:v>0</x:v>
      </x:c>
      <x:c r="O285" s="36" t="n">
        <x:f>IF(A285="",0,IF(AND(D285&lt;='01_설정'!$B$6,E285&lt;='01_설정'!$B$7),1,0))</x:f>
        <x:v>0</x:v>
      </x:c>
      <x:c r="P285" s="36" t="n">
        <x:f>IF(A285="",0,D285*100000+C285)</x:f>
        <x:v>0</x:v>
      </x:c>
      <x:c r="Q285" s="36" t="n">
        <x:f>IF(O285=0,0,IF(OR(R285=0,N285&lt;&gt;SUMIFS('13_검토이력'!$N$6:$N$305,'13_검토이력'!$P$6:$P$305,R285)),1,0))</x:f>
        <x:v>0</x:v>
      </x:c>
      <x:c r="R285" s="36" t="n">
        <x:f>IF(O285=0,0,_xlfn.MAXIFS('13_검토이력'!$P$6:$P$305,'13_검토이력'!$B$6:$B$305,B285,'13_검토이력'!$P$6:$P$305,"&lt;"&amp;P285,'13_검토이력'!$O$6:$O$305,1))</x:f>
        <x:v>0</x:v>
      </x:c>
      <x:c r="S285" s="36" t="n">
        <x:f>IF(A285="",0,IF(OR(H285=TRUE,H285="TRUE",H285="true"),1,0))</x:f>
        <x:v>0</x:v>
      </x:c>
    </x:row>
    <x:row r="286" ht="20" customHeight="1">
      <x:c r="A286" s="22"/>
      <x:c r="B286" s="22"/>
      <x:c r="C286" s="22"/>
      <x:c r="D286" s="28"/>
      <x:c r="E286" s="28"/>
      <x:c r="F286" s="22"/>
      <x:c r="G286" s="22"/>
      <x:c r="H286" s="22"/>
      <x:c r="I286" s="26"/>
      <x:c r="J286" s="22"/>
      <x:c r="K286" s="26"/>
      <x:c r="L286" s="26"/>
      <x:c r="M286" s="28"/>
      <x:c r="N286" s="36" t="n">
        <x:f>IF(A286="",0,IFERROR(MATCH(F286,'17_코드북'!$A$6:$A$14,0)-1,9))</x:f>
        <x:v>0</x:v>
      </x:c>
      <x:c r="O286" s="36" t="n">
        <x:f>IF(A286="",0,IF(AND(D286&lt;='01_설정'!$B$6,E286&lt;='01_설정'!$B$7),1,0))</x:f>
        <x:v>0</x:v>
      </x:c>
      <x:c r="P286" s="36" t="n">
        <x:f>IF(A286="",0,D286*100000+C286)</x:f>
        <x:v>0</x:v>
      </x:c>
      <x:c r="Q286" s="36" t="n">
        <x:f>IF(O286=0,0,IF(OR(R286=0,N286&lt;&gt;SUMIFS('13_검토이력'!$N$6:$N$305,'13_검토이력'!$P$6:$P$305,R286)),1,0))</x:f>
        <x:v>0</x:v>
      </x:c>
      <x:c r="R286" s="36" t="n">
        <x:f>IF(O286=0,0,_xlfn.MAXIFS('13_검토이력'!$P$6:$P$305,'13_검토이력'!$B$6:$B$305,B286,'13_검토이력'!$P$6:$P$305,"&lt;"&amp;P286,'13_검토이력'!$O$6:$O$305,1))</x:f>
        <x:v>0</x:v>
      </x:c>
      <x:c r="S286" s="36" t="n">
        <x:f>IF(A286="",0,IF(OR(H286=TRUE,H286="TRUE",H286="true"),1,0))</x:f>
        <x:v>0</x:v>
      </x:c>
    </x:row>
    <x:row r="287" ht="20" customHeight="1">
      <x:c r="A287" s="22"/>
      <x:c r="B287" s="22"/>
      <x:c r="C287" s="22"/>
      <x:c r="D287" s="28"/>
      <x:c r="E287" s="28"/>
      <x:c r="F287" s="22"/>
      <x:c r="G287" s="22"/>
      <x:c r="H287" s="22"/>
      <x:c r="I287" s="26"/>
      <x:c r="J287" s="22"/>
      <x:c r="K287" s="26"/>
      <x:c r="L287" s="26"/>
      <x:c r="M287" s="28"/>
      <x:c r="N287" s="36" t="n">
        <x:f>IF(A287="",0,IFERROR(MATCH(F287,'17_코드북'!$A$6:$A$14,0)-1,9))</x:f>
        <x:v>0</x:v>
      </x:c>
      <x:c r="O287" s="36" t="n">
        <x:f>IF(A287="",0,IF(AND(D287&lt;='01_설정'!$B$6,E287&lt;='01_설정'!$B$7),1,0))</x:f>
        <x:v>0</x:v>
      </x:c>
      <x:c r="P287" s="36" t="n">
        <x:f>IF(A287="",0,D287*100000+C287)</x:f>
        <x:v>0</x:v>
      </x:c>
      <x:c r="Q287" s="36" t="n">
        <x:f>IF(O287=0,0,IF(OR(R287=0,N287&lt;&gt;SUMIFS('13_검토이력'!$N$6:$N$305,'13_검토이력'!$P$6:$P$305,R287)),1,0))</x:f>
        <x:v>0</x:v>
      </x:c>
      <x:c r="R287" s="36" t="n">
        <x:f>IF(O287=0,0,_xlfn.MAXIFS('13_검토이력'!$P$6:$P$305,'13_검토이력'!$B$6:$B$305,B287,'13_검토이력'!$P$6:$P$305,"&lt;"&amp;P287,'13_검토이력'!$O$6:$O$305,1))</x:f>
        <x:v>0</x:v>
      </x:c>
      <x:c r="S287" s="36" t="n">
        <x:f>IF(A287="",0,IF(OR(H287=TRUE,H287="TRUE",H287="true"),1,0))</x:f>
        <x:v>0</x:v>
      </x:c>
    </x:row>
    <x:row r="288" ht="20" customHeight="1">
      <x:c r="A288" s="22"/>
      <x:c r="B288" s="22"/>
      <x:c r="C288" s="22"/>
      <x:c r="D288" s="28"/>
      <x:c r="E288" s="28"/>
      <x:c r="F288" s="22"/>
      <x:c r="G288" s="22"/>
      <x:c r="H288" s="22"/>
      <x:c r="I288" s="26"/>
      <x:c r="J288" s="22"/>
      <x:c r="K288" s="26"/>
      <x:c r="L288" s="26"/>
      <x:c r="M288" s="28"/>
      <x:c r="N288" s="36" t="n">
        <x:f>IF(A288="",0,IFERROR(MATCH(F288,'17_코드북'!$A$6:$A$14,0)-1,9))</x:f>
        <x:v>0</x:v>
      </x:c>
      <x:c r="O288" s="36" t="n">
        <x:f>IF(A288="",0,IF(AND(D288&lt;='01_설정'!$B$6,E288&lt;='01_설정'!$B$7),1,0))</x:f>
        <x:v>0</x:v>
      </x:c>
      <x:c r="P288" s="36" t="n">
        <x:f>IF(A288="",0,D288*100000+C288)</x:f>
        <x:v>0</x:v>
      </x:c>
      <x:c r="Q288" s="36" t="n">
        <x:f>IF(O288=0,0,IF(OR(R288=0,N288&lt;&gt;SUMIFS('13_검토이력'!$N$6:$N$305,'13_검토이력'!$P$6:$P$305,R288)),1,0))</x:f>
        <x:v>0</x:v>
      </x:c>
      <x:c r="R288" s="36" t="n">
        <x:f>IF(O288=0,0,_xlfn.MAXIFS('13_검토이력'!$P$6:$P$305,'13_검토이력'!$B$6:$B$305,B288,'13_검토이력'!$P$6:$P$305,"&lt;"&amp;P288,'13_검토이력'!$O$6:$O$305,1))</x:f>
        <x:v>0</x:v>
      </x:c>
      <x:c r="S288" s="36" t="n">
        <x:f>IF(A288="",0,IF(OR(H288=TRUE,H288="TRUE",H288="true"),1,0))</x:f>
        <x:v>0</x:v>
      </x:c>
    </x:row>
    <x:row r="289" ht="20" customHeight="1">
      <x:c r="A289" s="22"/>
      <x:c r="B289" s="22"/>
      <x:c r="C289" s="22"/>
      <x:c r="D289" s="28"/>
      <x:c r="E289" s="28"/>
      <x:c r="F289" s="22"/>
      <x:c r="G289" s="22"/>
      <x:c r="H289" s="22"/>
      <x:c r="I289" s="26"/>
      <x:c r="J289" s="22"/>
      <x:c r="K289" s="26"/>
      <x:c r="L289" s="26"/>
      <x:c r="M289" s="28"/>
      <x:c r="N289" s="36" t="n">
        <x:f>IF(A289="",0,IFERROR(MATCH(F289,'17_코드북'!$A$6:$A$14,0)-1,9))</x:f>
        <x:v>0</x:v>
      </x:c>
      <x:c r="O289" s="36" t="n">
        <x:f>IF(A289="",0,IF(AND(D289&lt;='01_설정'!$B$6,E289&lt;='01_설정'!$B$7),1,0))</x:f>
        <x:v>0</x:v>
      </x:c>
      <x:c r="P289" s="36" t="n">
        <x:f>IF(A289="",0,D289*100000+C289)</x:f>
        <x:v>0</x:v>
      </x:c>
      <x:c r="Q289" s="36" t="n">
        <x:f>IF(O289=0,0,IF(OR(R289=0,N289&lt;&gt;SUMIFS('13_검토이력'!$N$6:$N$305,'13_검토이력'!$P$6:$P$305,R289)),1,0))</x:f>
        <x:v>0</x:v>
      </x:c>
      <x:c r="R289" s="36" t="n">
        <x:f>IF(O289=0,0,_xlfn.MAXIFS('13_검토이력'!$P$6:$P$305,'13_검토이력'!$B$6:$B$305,B289,'13_검토이력'!$P$6:$P$305,"&lt;"&amp;P289,'13_검토이력'!$O$6:$O$305,1))</x:f>
        <x:v>0</x:v>
      </x:c>
      <x:c r="S289" s="36" t="n">
        <x:f>IF(A289="",0,IF(OR(H289=TRUE,H289="TRUE",H289="true"),1,0))</x:f>
        <x:v>0</x:v>
      </x:c>
    </x:row>
    <x:row r="290" ht="20" customHeight="1">
      <x:c r="A290" s="22"/>
      <x:c r="B290" s="22"/>
      <x:c r="C290" s="22"/>
      <x:c r="D290" s="28"/>
      <x:c r="E290" s="28"/>
      <x:c r="F290" s="22"/>
      <x:c r="G290" s="22"/>
      <x:c r="H290" s="22"/>
      <x:c r="I290" s="26"/>
      <x:c r="J290" s="22"/>
      <x:c r="K290" s="26"/>
      <x:c r="L290" s="26"/>
      <x:c r="M290" s="28"/>
      <x:c r="N290" s="36" t="n">
        <x:f>IF(A290="",0,IFERROR(MATCH(F290,'17_코드북'!$A$6:$A$14,0)-1,9))</x:f>
        <x:v>0</x:v>
      </x:c>
      <x:c r="O290" s="36" t="n">
        <x:f>IF(A290="",0,IF(AND(D290&lt;='01_설정'!$B$6,E290&lt;='01_설정'!$B$7),1,0))</x:f>
        <x:v>0</x:v>
      </x:c>
      <x:c r="P290" s="36" t="n">
        <x:f>IF(A290="",0,D290*100000+C290)</x:f>
        <x:v>0</x:v>
      </x:c>
      <x:c r="Q290" s="36" t="n">
        <x:f>IF(O290=0,0,IF(OR(R290=0,N290&lt;&gt;SUMIFS('13_검토이력'!$N$6:$N$305,'13_검토이력'!$P$6:$P$305,R290)),1,0))</x:f>
        <x:v>0</x:v>
      </x:c>
      <x:c r="R290" s="36" t="n">
        <x:f>IF(O290=0,0,_xlfn.MAXIFS('13_검토이력'!$P$6:$P$305,'13_검토이력'!$B$6:$B$305,B290,'13_검토이력'!$P$6:$P$305,"&lt;"&amp;P290,'13_검토이력'!$O$6:$O$305,1))</x:f>
        <x:v>0</x:v>
      </x:c>
      <x:c r="S290" s="36" t="n">
        <x:f>IF(A290="",0,IF(OR(H290=TRUE,H290="TRUE",H290="true"),1,0))</x:f>
        <x:v>0</x:v>
      </x:c>
    </x:row>
    <x:row r="291" ht="20" customHeight="1">
      <x:c r="A291" s="22"/>
      <x:c r="B291" s="22"/>
      <x:c r="C291" s="22"/>
      <x:c r="D291" s="28"/>
      <x:c r="E291" s="28"/>
      <x:c r="F291" s="22"/>
      <x:c r="G291" s="22"/>
      <x:c r="H291" s="22"/>
      <x:c r="I291" s="26"/>
      <x:c r="J291" s="22"/>
      <x:c r="K291" s="26"/>
      <x:c r="L291" s="26"/>
      <x:c r="M291" s="28"/>
      <x:c r="N291" s="36" t="n">
        <x:f>IF(A291="",0,IFERROR(MATCH(F291,'17_코드북'!$A$6:$A$14,0)-1,9))</x:f>
        <x:v>0</x:v>
      </x:c>
      <x:c r="O291" s="36" t="n">
        <x:f>IF(A291="",0,IF(AND(D291&lt;='01_설정'!$B$6,E291&lt;='01_설정'!$B$7),1,0))</x:f>
        <x:v>0</x:v>
      </x:c>
      <x:c r="P291" s="36" t="n">
        <x:f>IF(A291="",0,D291*100000+C291)</x:f>
        <x:v>0</x:v>
      </x:c>
      <x:c r="Q291" s="36" t="n">
        <x:f>IF(O291=0,0,IF(OR(R291=0,N291&lt;&gt;SUMIFS('13_검토이력'!$N$6:$N$305,'13_검토이력'!$P$6:$P$305,R291)),1,0))</x:f>
        <x:v>0</x:v>
      </x:c>
      <x:c r="R291" s="36" t="n">
        <x:f>IF(O291=0,0,_xlfn.MAXIFS('13_검토이력'!$P$6:$P$305,'13_검토이력'!$B$6:$B$305,B291,'13_검토이력'!$P$6:$P$305,"&lt;"&amp;P291,'13_검토이력'!$O$6:$O$305,1))</x:f>
        <x:v>0</x:v>
      </x:c>
      <x:c r="S291" s="36" t="n">
        <x:f>IF(A291="",0,IF(OR(H291=TRUE,H291="TRUE",H291="true"),1,0))</x:f>
        <x:v>0</x:v>
      </x:c>
    </x:row>
    <x:row r="292" ht="20" customHeight="1">
      <x:c r="A292" s="22"/>
      <x:c r="B292" s="22"/>
      <x:c r="C292" s="22"/>
      <x:c r="D292" s="28"/>
      <x:c r="E292" s="28"/>
      <x:c r="F292" s="22"/>
      <x:c r="G292" s="22"/>
      <x:c r="H292" s="22"/>
      <x:c r="I292" s="26"/>
      <x:c r="J292" s="22"/>
      <x:c r="K292" s="26"/>
      <x:c r="L292" s="26"/>
      <x:c r="M292" s="28"/>
      <x:c r="N292" s="36" t="n">
        <x:f>IF(A292="",0,IFERROR(MATCH(F292,'17_코드북'!$A$6:$A$14,0)-1,9))</x:f>
        <x:v>0</x:v>
      </x:c>
      <x:c r="O292" s="36" t="n">
        <x:f>IF(A292="",0,IF(AND(D292&lt;='01_설정'!$B$6,E292&lt;='01_설정'!$B$7),1,0))</x:f>
        <x:v>0</x:v>
      </x:c>
      <x:c r="P292" s="36" t="n">
        <x:f>IF(A292="",0,D292*100000+C292)</x:f>
        <x:v>0</x:v>
      </x:c>
      <x:c r="Q292" s="36" t="n">
        <x:f>IF(O292=0,0,IF(OR(R292=0,N292&lt;&gt;SUMIFS('13_검토이력'!$N$6:$N$305,'13_검토이력'!$P$6:$P$305,R292)),1,0))</x:f>
        <x:v>0</x:v>
      </x:c>
      <x:c r="R292" s="36" t="n">
        <x:f>IF(O292=0,0,_xlfn.MAXIFS('13_검토이력'!$P$6:$P$305,'13_검토이력'!$B$6:$B$305,B292,'13_검토이력'!$P$6:$P$305,"&lt;"&amp;P292,'13_검토이력'!$O$6:$O$305,1))</x:f>
        <x:v>0</x:v>
      </x:c>
      <x:c r="S292" s="36" t="n">
        <x:f>IF(A292="",0,IF(OR(H292=TRUE,H292="TRUE",H292="true"),1,0))</x:f>
        <x:v>0</x:v>
      </x:c>
    </x:row>
    <x:row r="293" ht="20" customHeight="1">
      <x:c r="A293" s="22"/>
      <x:c r="B293" s="22"/>
      <x:c r="C293" s="22"/>
      <x:c r="D293" s="28"/>
      <x:c r="E293" s="28"/>
      <x:c r="F293" s="22"/>
      <x:c r="G293" s="22"/>
      <x:c r="H293" s="22"/>
      <x:c r="I293" s="26"/>
      <x:c r="J293" s="22"/>
      <x:c r="K293" s="26"/>
      <x:c r="L293" s="26"/>
      <x:c r="M293" s="28"/>
      <x:c r="N293" s="36" t="n">
        <x:f>IF(A293="",0,IFERROR(MATCH(F293,'17_코드북'!$A$6:$A$14,0)-1,9))</x:f>
        <x:v>0</x:v>
      </x:c>
      <x:c r="O293" s="36" t="n">
        <x:f>IF(A293="",0,IF(AND(D293&lt;='01_설정'!$B$6,E293&lt;='01_설정'!$B$7),1,0))</x:f>
        <x:v>0</x:v>
      </x:c>
      <x:c r="P293" s="36" t="n">
        <x:f>IF(A293="",0,D293*100000+C293)</x:f>
        <x:v>0</x:v>
      </x:c>
      <x:c r="Q293" s="36" t="n">
        <x:f>IF(O293=0,0,IF(OR(R293=0,N293&lt;&gt;SUMIFS('13_검토이력'!$N$6:$N$305,'13_검토이력'!$P$6:$P$305,R293)),1,0))</x:f>
        <x:v>0</x:v>
      </x:c>
      <x:c r="R293" s="36" t="n">
        <x:f>IF(O293=0,0,_xlfn.MAXIFS('13_검토이력'!$P$6:$P$305,'13_검토이력'!$B$6:$B$305,B293,'13_검토이력'!$P$6:$P$305,"&lt;"&amp;P293,'13_검토이력'!$O$6:$O$305,1))</x:f>
        <x:v>0</x:v>
      </x:c>
      <x:c r="S293" s="36" t="n">
        <x:f>IF(A293="",0,IF(OR(H293=TRUE,H293="TRUE",H293="true"),1,0))</x:f>
        <x:v>0</x:v>
      </x:c>
    </x:row>
    <x:row r="294" ht="20" customHeight="1">
      <x:c r="A294" s="22"/>
      <x:c r="B294" s="22"/>
      <x:c r="C294" s="22"/>
      <x:c r="D294" s="28"/>
      <x:c r="E294" s="28"/>
      <x:c r="F294" s="22"/>
      <x:c r="G294" s="22"/>
      <x:c r="H294" s="22"/>
      <x:c r="I294" s="26"/>
      <x:c r="J294" s="22"/>
      <x:c r="K294" s="26"/>
      <x:c r="L294" s="26"/>
      <x:c r="M294" s="28"/>
      <x:c r="N294" s="36" t="n">
        <x:f>IF(A294="",0,IFERROR(MATCH(F294,'17_코드북'!$A$6:$A$14,0)-1,9))</x:f>
        <x:v>0</x:v>
      </x:c>
      <x:c r="O294" s="36" t="n">
        <x:f>IF(A294="",0,IF(AND(D294&lt;='01_설정'!$B$6,E294&lt;='01_설정'!$B$7),1,0))</x:f>
        <x:v>0</x:v>
      </x:c>
      <x:c r="P294" s="36" t="n">
        <x:f>IF(A294="",0,D294*100000+C294)</x:f>
        <x:v>0</x:v>
      </x:c>
      <x:c r="Q294" s="36" t="n">
        <x:f>IF(O294=0,0,IF(OR(R294=0,N294&lt;&gt;SUMIFS('13_검토이력'!$N$6:$N$305,'13_검토이력'!$P$6:$P$305,R294)),1,0))</x:f>
        <x:v>0</x:v>
      </x:c>
      <x:c r="R294" s="36" t="n">
        <x:f>IF(O294=0,0,_xlfn.MAXIFS('13_검토이력'!$P$6:$P$305,'13_검토이력'!$B$6:$B$305,B294,'13_검토이력'!$P$6:$P$305,"&lt;"&amp;P294,'13_검토이력'!$O$6:$O$305,1))</x:f>
        <x:v>0</x:v>
      </x:c>
      <x:c r="S294" s="36" t="n">
        <x:f>IF(A294="",0,IF(OR(H294=TRUE,H294="TRUE",H294="true"),1,0))</x:f>
        <x:v>0</x:v>
      </x:c>
    </x:row>
    <x:row r="295" ht="20" customHeight="1">
      <x:c r="A295" s="22"/>
      <x:c r="B295" s="22"/>
      <x:c r="C295" s="22"/>
      <x:c r="D295" s="28"/>
      <x:c r="E295" s="28"/>
      <x:c r="F295" s="22"/>
      <x:c r="G295" s="22"/>
      <x:c r="H295" s="22"/>
      <x:c r="I295" s="26"/>
      <x:c r="J295" s="22"/>
      <x:c r="K295" s="26"/>
      <x:c r="L295" s="26"/>
      <x:c r="M295" s="28"/>
      <x:c r="N295" s="36" t="n">
        <x:f>IF(A295="",0,IFERROR(MATCH(F295,'17_코드북'!$A$6:$A$14,0)-1,9))</x:f>
        <x:v>0</x:v>
      </x:c>
      <x:c r="O295" s="36" t="n">
        <x:f>IF(A295="",0,IF(AND(D295&lt;='01_설정'!$B$6,E295&lt;='01_설정'!$B$7),1,0))</x:f>
        <x:v>0</x:v>
      </x:c>
      <x:c r="P295" s="36" t="n">
        <x:f>IF(A295="",0,D295*100000+C295)</x:f>
        <x:v>0</x:v>
      </x:c>
      <x:c r="Q295" s="36" t="n">
        <x:f>IF(O295=0,0,IF(OR(R295=0,N295&lt;&gt;SUMIFS('13_검토이력'!$N$6:$N$305,'13_검토이력'!$P$6:$P$305,R295)),1,0))</x:f>
        <x:v>0</x:v>
      </x:c>
      <x:c r="R295" s="36" t="n">
        <x:f>IF(O295=0,0,_xlfn.MAXIFS('13_검토이력'!$P$6:$P$305,'13_검토이력'!$B$6:$B$305,B295,'13_검토이력'!$P$6:$P$305,"&lt;"&amp;P295,'13_검토이력'!$O$6:$O$305,1))</x:f>
        <x:v>0</x:v>
      </x:c>
      <x:c r="S295" s="36" t="n">
        <x:f>IF(A295="",0,IF(OR(H295=TRUE,H295="TRUE",H295="true"),1,0))</x:f>
        <x:v>0</x:v>
      </x:c>
    </x:row>
    <x:row r="296" ht="20" customHeight="1">
      <x:c r="A296" s="22"/>
      <x:c r="B296" s="22"/>
      <x:c r="C296" s="22"/>
      <x:c r="D296" s="28"/>
      <x:c r="E296" s="28"/>
      <x:c r="F296" s="22"/>
      <x:c r="G296" s="22"/>
      <x:c r="H296" s="22"/>
      <x:c r="I296" s="26"/>
      <x:c r="J296" s="22"/>
      <x:c r="K296" s="26"/>
      <x:c r="L296" s="26"/>
      <x:c r="M296" s="28"/>
      <x:c r="N296" s="36" t="n">
        <x:f>IF(A296="",0,IFERROR(MATCH(F296,'17_코드북'!$A$6:$A$14,0)-1,9))</x:f>
        <x:v>0</x:v>
      </x:c>
      <x:c r="O296" s="36" t="n">
        <x:f>IF(A296="",0,IF(AND(D296&lt;='01_설정'!$B$6,E296&lt;='01_설정'!$B$7),1,0))</x:f>
        <x:v>0</x:v>
      </x:c>
      <x:c r="P296" s="36" t="n">
        <x:f>IF(A296="",0,D296*100000+C296)</x:f>
        <x:v>0</x:v>
      </x:c>
      <x:c r="Q296" s="36" t="n">
        <x:f>IF(O296=0,0,IF(OR(R296=0,N296&lt;&gt;SUMIFS('13_검토이력'!$N$6:$N$305,'13_검토이력'!$P$6:$P$305,R296)),1,0))</x:f>
        <x:v>0</x:v>
      </x:c>
      <x:c r="R296" s="36" t="n">
        <x:f>IF(O296=0,0,_xlfn.MAXIFS('13_검토이력'!$P$6:$P$305,'13_검토이력'!$B$6:$B$305,B296,'13_검토이력'!$P$6:$P$305,"&lt;"&amp;P296,'13_검토이력'!$O$6:$O$305,1))</x:f>
        <x:v>0</x:v>
      </x:c>
      <x:c r="S296" s="36" t="n">
        <x:f>IF(A296="",0,IF(OR(H296=TRUE,H296="TRUE",H296="true"),1,0))</x:f>
        <x:v>0</x:v>
      </x:c>
    </x:row>
    <x:row r="297" ht="20" customHeight="1">
      <x:c r="A297" s="22"/>
      <x:c r="B297" s="22"/>
      <x:c r="C297" s="22"/>
      <x:c r="D297" s="28"/>
      <x:c r="E297" s="28"/>
      <x:c r="F297" s="22"/>
      <x:c r="G297" s="22"/>
      <x:c r="H297" s="22"/>
      <x:c r="I297" s="26"/>
      <x:c r="J297" s="22"/>
      <x:c r="K297" s="26"/>
      <x:c r="L297" s="26"/>
      <x:c r="M297" s="28"/>
      <x:c r="N297" s="36" t="n">
        <x:f>IF(A297="",0,IFERROR(MATCH(F297,'17_코드북'!$A$6:$A$14,0)-1,9))</x:f>
        <x:v>0</x:v>
      </x:c>
      <x:c r="O297" s="36" t="n">
        <x:f>IF(A297="",0,IF(AND(D297&lt;='01_설정'!$B$6,E297&lt;='01_설정'!$B$7),1,0))</x:f>
        <x:v>0</x:v>
      </x:c>
      <x:c r="P297" s="36" t="n">
        <x:f>IF(A297="",0,D297*100000+C297)</x:f>
        <x:v>0</x:v>
      </x:c>
      <x:c r="Q297" s="36" t="n">
        <x:f>IF(O297=0,0,IF(OR(R297=0,N297&lt;&gt;SUMIFS('13_검토이력'!$N$6:$N$305,'13_검토이력'!$P$6:$P$305,R297)),1,0))</x:f>
        <x:v>0</x:v>
      </x:c>
      <x:c r="R297" s="36" t="n">
        <x:f>IF(O297=0,0,_xlfn.MAXIFS('13_검토이력'!$P$6:$P$305,'13_검토이력'!$B$6:$B$305,B297,'13_검토이력'!$P$6:$P$305,"&lt;"&amp;P297,'13_검토이력'!$O$6:$O$305,1))</x:f>
        <x:v>0</x:v>
      </x:c>
      <x:c r="S297" s="36" t="n">
        <x:f>IF(A297="",0,IF(OR(H297=TRUE,H297="TRUE",H297="true"),1,0))</x:f>
        <x:v>0</x:v>
      </x:c>
    </x:row>
    <x:row r="298" ht="20" customHeight="1">
      <x:c r="A298" s="22"/>
      <x:c r="B298" s="22"/>
      <x:c r="C298" s="22"/>
      <x:c r="D298" s="28"/>
      <x:c r="E298" s="28"/>
      <x:c r="F298" s="22"/>
      <x:c r="G298" s="22"/>
      <x:c r="H298" s="22"/>
      <x:c r="I298" s="26"/>
      <x:c r="J298" s="22"/>
      <x:c r="K298" s="26"/>
      <x:c r="L298" s="26"/>
      <x:c r="M298" s="28"/>
      <x:c r="N298" s="36" t="n">
        <x:f>IF(A298="",0,IFERROR(MATCH(F298,'17_코드북'!$A$6:$A$14,0)-1,9))</x:f>
        <x:v>0</x:v>
      </x:c>
      <x:c r="O298" s="36" t="n">
        <x:f>IF(A298="",0,IF(AND(D298&lt;='01_설정'!$B$6,E298&lt;='01_설정'!$B$7),1,0))</x:f>
        <x:v>0</x:v>
      </x:c>
      <x:c r="P298" s="36" t="n">
        <x:f>IF(A298="",0,D298*100000+C298)</x:f>
        <x:v>0</x:v>
      </x:c>
      <x:c r="Q298" s="36" t="n">
        <x:f>IF(O298=0,0,IF(OR(R298=0,N298&lt;&gt;SUMIFS('13_검토이력'!$N$6:$N$305,'13_검토이력'!$P$6:$P$305,R298)),1,0))</x:f>
        <x:v>0</x:v>
      </x:c>
      <x:c r="R298" s="36" t="n">
        <x:f>IF(O298=0,0,_xlfn.MAXIFS('13_검토이력'!$P$6:$P$305,'13_검토이력'!$B$6:$B$305,B298,'13_검토이력'!$P$6:$P$305,"&lt;"&amp;P298,'13_검토이력'!$O$6:$O$305,1))</x:f>
        <x:v>0</x:v>
      </x:c>
      <x:c r="S298" s="36" t="n">
        <x:f>IF(A298="",0,IF(OR(H298=TRUE,H298="TRUE",H298="true"),1,0))</x:f>
        <x:v>0</x:v>
      </x:c>
    </x:row>
    <x:row r="299" ht="20" customHeight="1">
      <x:c r="A299" s="22"/>
      <x:c r="B299" s="22"/>
      <x:c r="C299" s="22"/>
      <x:c r="D299" s="28"/>
      <x:c r="E299" s="28"/>
      <x:c r="F299" s="22"/>
      <x:c r="G299" s="22"/>
      <x:c r="H299" s="22"/>
      <x:c r="I299" s="26"/>
      <x:c r="J299" s="22"/>
      <x:c r="K299" s="26"/>
      <x:c r="L299" s="26"/>
      <x:c r="M299" s="28"/>
      <x:c r="N299" s="36" t="n">
        <x:f>IF(A299="",0,IFERROR(MATCH(F299,'17_코드북'!$A$6:$A$14,0)-1,9))</x:f>
        <x:v>0</x:v>
      </x:c>
      <x:c r="O299" s="36" t="n">
        <x:f>IF(A299="",0,IF(AND(D299&lt;='01_설정'!$B$6,E299&lt;='01_설정'!$B$7),1,0))</x:f>
        <x:v>0</x:v>
      </x:c>
      <x:c r="P299" s="36" t="n">
        <x:f>IF(A299="",0,D299*100000+C299)</x:f>
        <x:v>0</x:v>
      </x:c>
      <x:c r="Q299" s="36" t="n">
        <x:f>IF(O299=0,0,IF(OR(R299=0,N299&lt;&gt;SUMIFS('13_검토이력'!$N$6:$N$305,'13_검토이력'!$P$6:$P$305,R299)),1,0))</x:f>
        <x:v>0</x:v>
      </x:c>
      <x:c r="R299" s="36" t="n">
        <x:f>IF(O299=0,0,_xlfn.MAXIFS('13_검토이력'!$P$6:$P$305,'13_검토이력'!$B$6:$B$305,B299,'13_검토이력'!$P$6:$P$305,"&lt;"&amp;P299,'13_검토이력'!$O$6:$O$305,1))</x:f>
        <x:v>0</x:v>
      </x:c>
      <x:c r="S299" s="36" t="n">
        <x:f>IF(A299="",0,IF(OR(H299=TRUE,H299="TRUE",H299="true"),1,0))</x:f>
        <x:v>0</x:v>
      </x:c>
    </x:row>
    <x:row r="300" ht="20" customHeight="1">
      <x:c r="A300" s="22"/>
      <x:c r="B300" s="22"/>
      <x:c r="C300" s="22"/>
      <x:c r="D300" s="28"/>
      <x:c r="E300" s="28"/>
      <x:c r="F300" s="22"/>
      <x:c r="G300" s="22"/>
      <x:c r="H300" s="22"/>
      <x:c r="I300" s="26"/>
      <x:c r="J300" s="22"/>
      <x:c r="K300" s="26"/>
      <x:c r="L300" s="26"/>
      <x:c r="M300" s="28"/>
      <x:c r="N300" s="36" t="n">
        <x:f>IF(A300="",0,IFERROR(MATCH(F300,'17_코드북'!$A$6:$A$14,0)-1,9))</x:f>
        <x:v>0</x:v>
      </x:c>
      <x:c r="O300" s="36" t="n">
        <x:f>IF(A300="",0,IF(AND(D300&lt;='01_설정'!$B$6,E300&lt;='01_설정'!$B$7),1,0))</x:f>
        <x:v>0</x:v>
      </x:c>
      <x:c r="P300" s="36" t="n">
        <x:f>IF(A300="",0,D300*100000+C300)</x:f>
        <x:v>0</x:v>
      </x:c>
      <x:c r="Q300" s="36" t="n">
        <x:f>IF(O300=0,0,IF(OR(R300=0,N300&lt;&gt;SUMIFS('13_검토이력'!$N$6:$N$305,'13_검토이력'!$P$6:$P$305,R300)),1,0))</x:f>
        <x:v>0</x:v>
      </x:c>
      <x:c r="R300" s="36" t="n">
        <x:f>IF(O300=0,0,_xlfn.MAXIFS('13_검토이력'!$P$6:$P$305,'13_검토이력'!$B$6:$B$305,B300,'13_검토이력'!$P$6:$P$305,"&lt;"&amp;P300,'13_검토이력'!$O$6:$O$305,1))</x:f>
        <x:v>0</x:v>
      </x:c>
      <x:c r="S300" s="36" t="n">
        <x:f>IF(A300="",0,IF(OR(H300=TRUE,H300="TRUE",H300="true"),1,0))</x:f>
        <x:v>0</x:v>
      </x:c>
    </x:row>
    <x:row r="301" ht="20" customHeight="1">
      <x:c r="A301" s="22"/>
      <x:c r="B301" s="22"/>
      <x:c r="C301" s="22"/>
      <x:c r="D301" s="28"/>
      <x:c r="E301" s="28"/>
      <x:c r="F301" s="22"/>
      <x:c r="G301" s="22"/>
      <x:c r="H301" s="22"/>
      <x:c r="I301" s="26"/>
      <x:c r="J301" s="22"/>
      <x:c r="K301" s="26"/>
      <x:c r="L301" s="26"/>
      <x:c r="M301" s="28"/>
      <x:c r="N301" s="36" t="n">
        <x:f>IF(A301="",0,IFERROR(MATCH(F301,'17_코드북'!$A$6:$A$14,0)-1,9))</x:f>
        <x:v>0</x:v>
      </x:c>
      <x:c r="O301" s="36" t="n">
        <x:f>IF(A301="",0,IF(AND(D301&lt;='01_설정'!$B$6,E301&lt;='01_설정'!$B$7),1,0))</x:f>
        <x:v>0</x:v>
      </x:c>
      <x:c r="P301" s="36" t="n">
        <x:f>IF(A301="",0,D301*100000+C301)</x:f>
        <x:v>0</x:v>
      </x:c>
      <x:c r="Q301" s="36" t="n">
        <x:f>IF(O301=0,0,IF(OR(R301=0,N301&lt;&gt;SUMIFS('13_검토이력'!$N$6:$N$305,'13_검토이력'!$P$6:$P$305,R301)),1,0))</x:f>
        <x:v>0</x:v>
      </x:c>
      <x:c r="R301" s="36" t="n">
        <x:f>IF(O301=0,0,_xlfn.MAXIFS('13_검토이력'!$P$6:$P$305,'13_검토이력'!$B$6:$B$305,B301,'13_검토이력'!$P$6:$P$305,"&lt;"&amp;P301,'13_검토이력'!$O$6:$O$305,1))</x:f>
        <x:v>0</x:v>
      </x:c>
      <x:c r="S301" s="36" t="n">
        <x:f>IF(A301="",0,IF(OR(H301=TRUE,H301="TRUE",H301="true"),1,0))</x:f>
        <x:v>0</x:v>
      </x:c>
    </x:row>
    <x:row r="302" ht="20" customHeight="1">
      <x:c r="A302" s="22"/>
      <x:c r="B302" s="22"/>
      <x:c r="C302" s="22"/>
      <x:c r="D302" s="28"/>
      <x:c r="E302" s="28"/>
      <x:c r="F302" s="22"/>
      <x:c r="G302" s="22"/>
      <x:c r="H302" s="22"/>
      <x:c r="I302" s="26"/>
      <x:c r="J302" s="22"/>
      <x:c r="K302" s="26"/>
      <x:c r="L302" s="26"/>
      <x:c r="M302" s="28"/>
      <x:c r="N302" s="36" t="n">
        <x:f>IF(A302="",0,IFERROR(MATCH(F302,'17_코드북'!$A$6:$A$14,0)-1,9))</x:f>
        <x:v>0</x:v>
      </x:c>
      <x:c r="O302" s="36" t="n">
        <x:f>IF(A302="",0,IF(AND(D302&lt;='01_설정'!$B$6,E302&lt;='01_설정'!$B$7),1,0))</x:f>
        <x:v>0</x:v>
      </x:c>
      <x:c r="P302" s="36" t="n">
        <x:f>IF(A302="",0,D302*100000+C302)</x:f>
        <x:v>0</x:v>
      </x:c>
      <x:c r="Q302" s="36" t="n">
        <x:f>IF(O302=0,0,IF(OR(R302=0,N302&lt;&gt;SUMIFS('13_검토이력'!$N$6:$N$305,'13_검토이력'!$P$6:$P$305,R302)),1,0))</x:f>
        <x:v>0</x:v>
      </x:c>
      <x:c r="R302" s="36" t="n">
        <x:f>IF(O302=0,0,_xlfn.MAXIFS('13_검토이력'!$P$6:$P$305,'13_검토이력'!$B$6:$B$305,B302,'13_검토이력'!$P$6:$P$305,"&lt;"&amp;P302,'13_검토이력'!$O$6:$O$305,1))</x:f>
        <x:v>0</x:v>
      </x:c>
      <x:c r="S302" s="36" t="n">
        <x:f>IF(A302="",0,IF(OR(H302=TRUE,H302="TRUE",H302="true"),1,0))</x:f>
        <x:v>0</x:v>
      </x:c>
    </x:row>
    <x:row r="303" ht="20" customHeight="1">
      <x:c r="A303" s="22"/>
      <x:c r="B303" s="22"/>
      <x:c r="C303" s="22"/>
      <x:c r="D303" s="28"/>
      <x:c r="E303" s="28"/>
      <x:c r="F303" s="22"/>
      <x:c r="G303" s="22"/>
      <x:c r="H303" s="22"/>
      <x:c r="I303" s="26"/>
      <x:c r="J303" s="22"/>
      <x:c r="K303" s="26"/>
      <x:c r="L303" s="26"/>
      <x:c r="M303" s="28"/>
      <x:c r="N303" s="36" t="n">
        <x:f>IF(A303="",0,IFERROR(MATCH(F303,'17_코드북'!$A$6:$A$14,0)-1,9))</x:f>
        <x:v>0</x:v>
      </x:c>
      <x:c r="O303" s="36" t="n">
        <x:f>IF(A303="",0,IF(AND(D303&lt;='01_설정'!$B$6,E303&lt;='01_설정'!$B$7),1,0))</x:f>
        <x:v>0</x:v>
      </x:c>
      <x:c r="P303" s="36" t="n">
        <x:f>IF(A303="",0,D303*100000+C303)</x:f>
        <x:v>0</x:v>
      </x:c>
      <x:c r="Q303" s="36" t="n">
        <x:f>IF(O303=0,0,IF(OR(R303=0,N303&lt;&gt;SUMIFS('13_검토이력'!$N$6:$N$305,'13_검토이력'!$P$6:$P$305,R303)),1,0))</x:f>
        <x:v>0</x:v>
      </x:c>
      <x:c r="R303" s="36" t="n">
        <x:f>IF(O303=0,0,_xlfn.MAXIFS('13_검토이력'!$P$6:$P$305,'13_검토이력'!$B$6:$B$305,B303,'13_검토이력'!$P$6:$P$305,"&lt;"&amp;P303,'13_검토이력'!$O$6:$O$305,1))</x:f>
        <x:v>0</x:v>
      </x:c>
      <x:c r="S303" s="36" t="n">
        <x:f>IF(A303="",0,IF(OR(H303=TRUE,H303="TRUE",H303="true"),1,0))</x:f>
        <x:v>0</x:v>
      </x:c>
    </x:row>
    <x:row r="304" ht="20" customHeight="1">
      <x:c r="A304" s="22"/>
      <x:c r="B304" s="22"/>
      <x:c r="C304" s="22"/>
      <x:c r="D304" s="28"/>
      <x:c r="E304" s="28"/>
      <x:c r="F304" s="22"/>
      <x:c r="G304" s="22"/>
      <x:c r="H304" s="22"/>
      <x:c r="I304" s="26"/>
      <x:c r="J304" s="22"/>
      <x:c r="K304" s="26"/>
      <x:c r="L304" s="26"/>
      <x:c r="M304" s="28"/>
      <x:c r="N304" s="36" t="n">
        <x:f>IF(A304="",0,IFERROR(MATCH(F304,'17_코드북'!$A$6:$A$14,0)-1,9))</x:f>
        <x:v>0</x:v>
      </x:c>
      <x:c r="O304" s="36" t="n">
        <x:f>IF(A304="",0,IF(AND(D304&lt;='01_설정'!$B$6,E304&lt;='01_설정'!$B$7),1,0))</x:f>
        <x:v>0</x:v>
      </x:c>
      <x:c r="P304" s="36" t="n">
        <x:f>IF(A304="",0,D304*100000+C304)</x:f>
        <x:v>0</x:v>
      </x:c>
      <x:c r="Q304" s="36" t="n">
        <x:f>IF(O304=0,0,IF(OR(R304=0,N304&lt;&gt;SUMIFS('13_검토이력'!$N$6:$N$305,'13_검토이력'!$P$6:$P$305,R304)),1,0))</x:f>
        <x:v>0</x:v>
      </x:c>
      <x:c r="R304" s="36" t="n">
        <x:f>IF(O304=0,0,_xlfn.MAXIFS('13_검토이력'!$P$6:$P$305,'13_검토이력'!$B$6:$B$305,B304,'13_검토이력'!$P$6:$P$305,"&lt;"&amp;P304,'13_검토이력'!$O$6:$O$305,1))</x:f>
        <x:v>0</x:v>
      </x:c>
      <x:c r="S304" s="36" t="n">
        <x:f>IF(A304="",0,IF(OR(H304=TRUE,H304="TRUE",H304="true"),1,0))</x:f>
        <x:v>0</x:v>
      </x:c>
    </x:row>
    <x:row r="305" ht="20" customHeight="1">
      <x:c r="A305" s="22"/>
      <x:c r="B305" s="22"/>
      <x:c r="C305" s="22"/>
      <x:c r="D305" s="28"/>
      <x:c r="E305" s="28"/>
      <x:c r="F305" s="22"/>
      <x:c r="G305" s="22"/>
      <x:c r="H305" s="22"/>
      <x:c r="I305" s="26"/>
      <x:c r="J305" s="22"/>
      <x:c r="K305" s="26"/>
      <x:c r="L305" s="26"/>
      <x:c r="M305" s="28"/>
      <x:c r="N305" s="36" t="n">
        <x:f>IF(A305="",0,IFERROR(MATCH(F305,'17_코드북'!$A$6:$A$14,0)-1,9))</x:f>
        <x:v>0</x:v>
      </x:c>
      <x:c r="O305" s="36" t="n">
        <x:f>IF(A305="",0,IF(AND(D305&lt;='01_설정'!$B$6,E305&lt;='01_설정'!$B$7),1,0))</x:f>
        <x:v>0</x:v>
      </x:c>
      <x:c r="P305" s="36" t="n">
        <x:f>IF(A305="",0,D305*100000+C305)</x:f>
        <x:v>0</x:v>
      </x:c>
      <x:c r="Q305" s="36" t="n">
        <x:f>IF(O305=0,0,IF(OR(R305=0,N305&lt;&gt;SUMIFS('13_검토이력'!$N$6:$N$305,'13_검토이력'!$P$6:$P$305,R305)),1,0))</x:f>
        <x:v>0</x:v>
      </x:c>
      <x:c r="R305" s="36" t="n">
        <x:f>IF(O305=0,0,_xlfn.MAXIFS('13_검토이력'!$P$6:$P$305,'13_검토이력'!$B$6:$B$305,B305,'13_검토이력'!$P$6:$P$305,"&lt;"&amp;P305,'13_검토이력'!$O$6:$O$305,1))</x:f>
        <x:v>0</x:v>
      </x:c>
      <x:c r="S305" s="36" t="n">
        <x:f>IF(A305="",0,IF(OR(H305=TRUE,H305="TRUE",H305="true"),1,0))</x:f>
        <x:v>0</x:v>
      </x:c>
    </x:row>
  </x:sheetData>
  <x:mergeCells>
    <x:mergeCell ref="A1:S1"/>
    <x:mergeCell ref="A2:S3"/>
  </x:mergeCells>
  <x:dataValidations count="3">
    <x:dataValidation type="list" sqref="F6:F305">
      <x:formula1>"draft,submitted,review,consultation,committee,approved,registered,rejected,withdrawn"</x:formula1>
    </x:dataValidation>
    <x:dataValidation type="list" sqref="G6:G305">
      <x:formula1>"transition,supplement_requested,supplement_received,note"</x:formula1>
    </x:dataValidation>
    <x:dataValidation type="list" sqref="H6:H30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2606bccbe24e30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2" customHeight="1">
      <x:c r="A1" s="7" t="str">
        <x:v>status_events | 입력 원장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1" customHeight="1">
      <x:c r="A2" s="15" t="str">
        <x:v>5행 영문 헤더·파란 글씨 열=JSON 교환 입력. 오른쪽 회색 계산열 수정 금지. 새 자료는 준비된 빈 행에 입력; 용량 초과 시 수식 범위 확장 필요.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33" t="str">
        <x:v>id</x:v>
      </x:c>
      <x:c r="B5" s="33" t="str">
        <x:v>methodology_id</x:v>
      </x:c>
      <x:c r="C5" s="33" t="str">
        <x:v>sequence</x:v>
      </x:c>
      <x:c r="D5" s="33" t="str">
        <x:v>occurred_on</x:v>
      </x:c>
      <x:c r="E5" s="33" t="str">
        <x:v>recorded_on</x:v>
      </x:c>
      <x:c r="F5" s="33" t="str">
        <x:v>status</x:v>
      </x:c>
      <x:c r="G5" s="33" t="str">
        <x:v>source_id</x:v>
      </x:c>
      <x:c r="H5" s="38" t="str">
        <x:v>상태 코드</x:v>
      </x:c>
      <x:c r="I5" s="38" t="str">
        <x:v>기준일 포함</x:v>
      </x:c>
      <x:c r="J5" s="38" t="str">
        <x:v>정렬 키</x:v>
      </x:c>
    </x:row>
    <x:row r="6" ht="20" customHeight="1">
      <x:c r="A6" s="22" t="str">
        <x:v>DEMO-S001</x:v>
      </x:c>
      <x:c r="B6" s="22" t="str">
        <x:v>DEMO-M001</x:v>
      </x:c>
      <x:c r="C6" s="22" t="n">
        <x:v>1</x:v>
      </x:c>
      <x:c r="D6" s="28" t="n">
        <x:v>43905</x:v>
      </x:c>
      <x:c r="E6" s="28" t="n">
        <x:v>43905</x:v>
      </x:c>
      <x:c r="F6" s="22" t="str">
        <x:v>active</x:v>
      </x:c>
      <x:c r="G6" s="22" t="str">
        <x:v>DEMO-PUBLIC</x:v>
      </x:c>
      <x:c r="H6" s="12" t="n">
        <x:f>IF(A6="",0,IF(F6="active",1,IF(F6="inactive",2,0)))</x:f>
        <x:v>1</x:v>
      </x:c>
      <x:c r="I6" s="12" t="n">
        <x:f>IF(A6="",0,IF(AND(D6&lt;='01_설정'!$B$6,E6&lt;='01_설정'!$B$7),1,0))</x:f>
        <x:v>1</x:v>
      </x:c>
      <x:c r="J6" s="12" t="n">
        <x:f>IF(A6="",0,D6*100000+C6)</x:f>
        <x:v>4390500001</x:v>
      </x:c>
    </x:row>
    <x:row r="7" ht="20" customHeight="1">
      <x:c r="A7" s="22" t="str">
        <x:v>DEMO-S002</x:v>
      </x:c>
      <x:c r="B7" s="22" t="str">
        <x:v>DEMO-M002</x:v>
      </x:c>
      <x:c r="C7" s="22" t="n">
        <x:v>2</x:v>
      </x:c>
      <x:c r="D7" s="28" t="n">
        <x:v>44357</x:v>
      </x:c>
      <x:c r="E7" s="28" t="n">
        <x:v>44357</x:v>
      </x:c>
      <x:c r="F7" s="22" t="str">
        <x:v>active</x:v>
      </x:c>
      <x:c r="G7" s="22" t="str">
        <x:v>DEMO-PUBLIC</x:v>
      </x:c>
      <x:c r="H7" s="12" t="n">
        <x:f>IF(A7="",0,IF(F7="active",1,IF(F7="inactive",2,0)))</x:f>
        <x:v>1</x:v>
      </x:c>
      <x:c r="I7" s="12" t="n">
        <x:f>IF(A7="",0,IF(AND(D7&lt;='01_설정'!$B$6,E7&lt;='01_설정'!$B$7),1,0))</x:f>
        <x:v>1</x:v>
      </x:c>
      <x:c r="J7" s="12" t="n">
        <x:f>IF(A7="",0,D7*100000+C7)</x:f>
        <x:v>4435700002</x:v>
      </x:c>
    </x:row>
    <x:row r="8" ht="20" customHeight="1">
      <x:c r="A8" s="22" t="str">
        <x:v>DEMO-S003</x:v>
      </x:c>
      <x:c r="B8" s="22" t="str">
        <x:v>DEMO-M003</x:v>
      </x:c>
      <x:c r="C8" s="22" t="n">
        <x:v>3</x:v>
      </x:c>
      <x:c r="D8" s="28" t="n">
        <x:v>44805</x:v>
      </x:c>
      <x:c r="E8" s="28" t="n">
        <x:v>44805</x:v>
      </x:c>
      <x:c r="F8" s="22" t="str">
        <x:v>active</x:v>
      </x:c>
      <x:c r="G8" s="22" t="str">
        <x:v>DEMO-PUBLIC</x:v>
      </x:c>
      <x:c r="H8" s="12" t="n">
        <x:f>IF(A8="",0,IF(F8="active",1,IF(F8="inactive",2,0)))</x:f>
        <x:v>1</x:v>
      </x:c>
      <x:c r="I8" s="12" t="n">
        <x:f>IF(A8="",0,IF(AND(D8&lt;='01_설정'!$B$6,E8&lt;='01_설정'!$B$7),1,0))</x:f>
        <x:v>1</x:v>
      </x:c>
      <x:c r="J8" s="12" t="n">
        <x:f>IF(A8="",0,D8*100000+C8)</x:f>
        <x:v>4480500003</x:v>
      </x:c>
    </x:row>
    <x:row r="9" ht="20" customHeight="1">
      <x:c r="A9" s="22" t="str">
        <x:v>DEMO-S004</x:v>
      </x:c>
      <x:c r="B9" s="22" t="str">
        <x:v>DEMO-M004</x:v>
      </x:c>
      <x:c r="C9" s="22" t="n">
        <x:v>4</x:v>
      </x:c>
      <x:c r="D9" s="28" t="n">
        <x:v>45023</x:v>
      </x:c>
      <x:c r="E9" s="28" t="n">
        <x:v>45023</x:v>
      </x:c>
      <x:c r="F9" s="22" t="str">
        <x:v>active</x:v>
      </x:c>
      <x:c r="G9" s="22" t="str">
        <x:v>DEMO-PUBLIC</x:v>
      </x:c>
      <x:c r="H9" s="12" t="n">
        <x:f>IF(A9="",0,IF(F9="active",1,IF(F9="inactive",2,0)))</x:f>
        <x:v>1</x:v>
      </x:c>
      <x:c r="I9" s="12" t="n">
        <x:f>IF(A9="",0,IF(AND(D9&lt;='01_설정'!$B$6,E9&lt;='01_설정'!$B$7),1,0))</x:f>
        <x:v>1</x:v>
      </x:c>
      <x:c r="J9" s="12" t="n">
        <x:f>IF(A9="",0,D9*100000+C9)</x:f>
        <x:v>4502300004</x:v>
      </x:c>
    </x:row>
    <x:row r="10" ht="20" customHeight="1">
      <x:c r="A10" s="22" t="str">
        <x:v>DEMO-S005</x:v>
      </x:c>
      <x:c r="B10" s="22" t="str">
        <x:v>DEMO-M005</x:v>
      </x:c>
      <x:c r="C10" s="22" t="n">
        <x:v>5</x:v>
      </x:c>
      <x:c r="D10" s="28" t="n">
        <x:v>45310</x:v>
      </x:c>
      <x:c r="E10" s="28" t="n">
        <x:v>45310</x:v>
      </x:c>
      <x:c r="F10" s="22" t="str">
        <x:v>active</x:v>
      </x:c>
      <x:c r="G10" s="22" t="str">
        <x:v>DEMO-PUBLIC</x:v>
      </x:c>
      <x:c r="H10" s="12" t="n">
        <x:f>IF(A10="",0,IF(F10="active",1,IF(F10="inactive",2,0)))</x:f>
        <x:v>1</x:v>
      </x:c>
      <x:c r="I10" s="12" t="n">
        <x:f>IF(A10="",0,IF(AND(D10&lt;='01_설정'!$B$6,E10&lt;='01_설정'!$B$7),1,0))</x:f>
        <x:v>1</x:v>
      </x:c>
      <x:c r="J10" s="12" t="n">
        <x:f>IF(A10="",0,D10*100000+C10)</x:f>
        <x:v>4531000005</x:v>
      </x:c>
    </x:row>
    <x:row r="11" ht="20" customHeight="1">
      <x:c r="A11" s="22" t="str">
        <x:v>DEMO-S006</x:v>
      </x:c>
      <x:c r="B11" s="22" t="str">
        <x:v>DEMO-M006</x:v>
      </x:c>
      <x:c r="C11" s="22" t="n">
        <x:v>6</x:v>
      </x:c>
      <x:c r="D11" s="28" t="n">
        <x:v>45860</x:v>
      </x:c>
      <x:c r="E11" s="28" t="n">
        <x:v>45860</x:v>
      </x:c>
      <x:c r="F11" s="22" t="str">
        <x:v>active</x:v>
      </x:c>
      <x:c r="G11" s="22" t="str">
        <x:v>DEMO-PUBLIC</x:v>
      </x:c>
      <x:c r="H11" s="12" t="n">
        <x:f>IF(A11="",0,IF(F11="active",1,IF(F11="inactive",2,0)))</x:f>
        <x:v>1</x:v>
      </x:c>
      <x:c r="I11" s="12" t="n">
        <x:f>IF(A11="",0,IF(AND(D11&lt;='01_설정'!$B$6,E11&lt;='01_설정'!$B$7),1,0))</x:f>
        <x:v>1</x:v>
      </x:c>
      <x:c r="J11" s="12" t="n">
        <x:f>IF(A11="",0,D11*100000+C11)</x:f>
        <x:v>4586000006</x:v>
      </x:c>
    </x:row>
    <x:row r="12" ht="20" customHeight="1">
      <x:c r="A12" s="22" t="str">
        <x:v>DEMO-S007</x:v>
      </x:c>
      <x:c r="B12" s="22" t="str">
        <x:v>DEMO-M007</x:v>
      </x:c>
      <x:c r="C12" s="22" t="n">
        <x:v>7</x:v>
      </x:c>
      <x:c r="D12" s="28" t="n">
        <x:v>46065</x:v>
      </x:c>
      <x:c r="E12" s="28" t="n">
        <x:v>46065</x:v>
      </x:c>
      <x:c r="F12" s="22" t="str">
        <x:v>active</x:v>
      </x:c>
      <x:c r="G12" s="22" t="str">
        <x:v>DEMO-PUBLIC</x:v>
      </x:c>
      <x:c r="H12" s="12" t="n">
        <x:f>IF(A12="",0,IF(F12="active",1,IF(F12="inactive",2,0)))</x:f>
        <x:v>1</x:v>
      </x:c>
      <x:c r="I12" s="12" t="n">
        <x:f>IF(A12="",0,IF(AND(D12&lt;='01_설정'!$B$6,E12&lt;='01_설정'!$B$7),1,0))</x:f>
        <x:v>1</x:v>
      </x:c>
      <x:c r="J12" s="12" t="n">
        <x:f>IF(A12="",0,D12*100000+C12)</x:f>
        <x:v>4606500007</x:v>
      </x:c>
    </x:row>
    <x:row r="13" ht="20" customHeight="1">
      <x:c r="A13" s="22" t="str">
        <x:v>DEMO-S008</x:v>
      </x:c>
      <x:c r="B13" s="22" t="str">
        <x:v>DEMO-M008</x:v>
      </x:c>
      <x:c r="C13" s="22" t="n">
        <x:v>8</x:v>
      </x:c>
      <x:c r="D13" s="28" t="n">
        <x:v>46235</x:v>
      </x:c>
      <x:c r="E13" s="28" t="n">
        <x:v>46235</x:v>
      </x:c>
      <x:c r="F13" s="22" t="str">
        <x:v>unknown</x:v>
      </x:c>
      <x:c r="G13" s="22" t="str">
        <x:v>DEMO-PUBLIC</x:v>
      </x:c>
      <x:c r="H13" s="12" t="n">
        <x:f>IF(A13="",0,IF(F13="active",1,IF(F13="inactive",2,0)))</x:f>
        <x:v>0</x:v>
      </x:c>
      <x:c r="I13" s="12" t="n">
        <x:f>IF(A13="",0,IF(AND(D13&lt;='01_설정'!$B$6,E13&lt;='01_설정'!$B$7),1,0))</x:f>
        <x:v>1</x:v>
      </x:c>
      <x:c r="J13" s="12" t="n">
        <x:f>IF(A13="",0,D13*100000+C13)</x:f>
        <x:v>4623500008</x:v>
      </x:c>
    </x:row>
    <x:row r="14" ht="20" customHeight="1">
      <x:c r="A14" s="22" t="str">
        <x:v>DEMO-S009</x:v>
      </x:c>
      <x:c r="B14" s="22" t="str">
        <x:v>DEMO-M009</x:v>
      </x:c>
      <x:c r="C14" s="22" t="n">
        <x:v>9</x:v>
      </x:c>
      <x:c r="D14" s="28" t="n">
        <x:v>45052</x:v>
      </x:c>
      <x:c r="E14" s="28" t="n">
        <x:v>45052</x:v>
      </x:c>
      <x:c r="F14" s="22" t="str">
        <x:v>active</x:v>
      </x:c>
      <x:c r="G14" s="22" t="str">
        <x:v>DEMO-PUBLIC</x:v>
      </x:c>
      <x:c r="H14" s="12" t="n">
        <x:f>IF(A14="",0,IF(F14="active",1,IF(F14="inactive",2,0)))</x:f>
        <x:v>1</x:v>
      </x:c>
      <x:c r="I14" s="12" t="n">
        <x:f>IF(A14="",0,IF(AND(D14&lt;='01_설정'!$B$6,E14&lt;='01_설정'!$B$7),1,0))</x:f>
        <x:v>1</x:v>
      </x:c>
      <x:c r="J14" s="12" t="n">
        <x:f>IF(A14="",0,D14*100000+C14)</x:f>
        <x:v>4505200009</x:v>
      </x:c>
    </x:row>
    <x:row r="15" ht="20" customHeight="1">
      <x:c r="A15" s="22" t="str">
        <x:v>DEMO-S010</x:v>
      </x:c>
      <x:c r="B15" s="22" t="str">
        <x:v>DEMO-M010</x:v>
      </x:c>
      <x:c r="C15" s="22" t="n">
        <x:v>10</x:v>
      </x:c>
      <x:c r="D15" s="28" t="n">
        <x:v>45476</x:v>
      </x:c>
      <x:c r="E15" s="28" t="n">
        <x:v>45476</x:v>
      </x:c>
      <x:c r="F15" s="22" t="str">
        <x:v>active</x:v>
      </x:c>
      <x:c r="G15" s="22" t="str">
        <x:v>DEMO-PUBLIC</x:v>
      </x:c>
      <x:c r="H15" s="12" t="n">
        <x:f>IF(A15="",0,IF(F15="active",1,IF(F15="inactive",2,0)))</x:f>
        <x:v>1</x:v>
      </x:c>
      <x:c r="I15" s="12" t="n">
        <x:f>IF(A15="",0,IF(AND(D15&lt;='01_설정'!$B$6,E15&lt;='01_설정'!$B$7),1,0))</x:f>
        <x:v>1</x:v>
      </x:c>
      <x:c r="J15" s="12" t="n">
        <x:f>IF(A15="",0,D15*100000+C15)</x:f>
        <x:v>4547600010</x:v>
      </x:c>
    </x:row>
    <x:row r="16" ht="20" customHeight="1">
      <x:c r="A16" s="22" t="str">
        <x:v>DEMO-S011</x:v>
      </x:c>
      <x:c r="B16" s="22" t="str">
        <x:v>DEMO-M011</x:v>
      </x:c>
      <x:c r="C16" s="22" t="n">
        <x:v>11</x:v>
      </x:c>
      <x:c r="D16" s="28" t="n">
        <x:v>45755</x:v>
      </x:c>
      <x:c r="E16" s="28" t="n">
        <x:v>45755</x:v>
      </x:c>
      <x:c r="F16" s="22" t="str">
        <x:v>active</x:v>
      </x:c>
      <x:c r="G16" s="22" t="str">
        <x:v>DEMO-PUBLIC</x:v>
      </x:c>
      <x:c r="H16" s="12" t="n">
        <x:f>IF(A16="",0,IF(F16="active",1,IF(F16="inactive",2,0)))</x:f>
        <x:v>1</x:v>
      </x:c>
      <x:c r="I16" s="12" t="n">
        <x:f>IF(A16="",0,IF(AND(D16&lt;='01_설정'!$B$6,E16&lt;='01_설정'!$B$7),1,0))</x:f>
        <x:v>1</x:v>
      </x:c>
      <x:c r="J16" s="12" t="n">
        <x:f>IF(A16="",0,D16*100000+C16)</x:f>
        <x:v>4575500011</x:v>
      </x:c>
    </x:row>
    <x:row r="17" ht="20" customHeight="1">
      <x:c r="A17" s="22" t="str">
        <x:v>DEMO-S012</x:v>
      </x:c>
      <x:c r="B17" s="22" t="str">
        <x:v>DEMO-M012</x:v>
      </x:c>
      <x:c r="C17" s="22" t="n">
        <x:v>12</x:v>
      </x:c>
      <x:c r="D17" s="28" t="n">
        <x:v>46266</x:v>
      </x:c>
      <x:c r="E17" s="28" t="n">
        <x:v>46266</x:v>
      </x:c>
      <x:c r="F17" s="22" t="str">
        <x:v>active</x:v>
      </x:c>
      <x:c r="G17" s="22" t="str">
        <x:v>DEMO-PUBLIC</x:v>
      </x:c>
      <x:c r="H17" s="12" t="n">
        <x:f>IF(A17="",0,IF(F17="active",1,IF(F17="inactive",2,0)))</x:f>
        <x:v>1</x:v>
      </x:c>
      <x:c r="I17" s="12" t="n">
        <x:f>IF(A17="",0,IF(AND(D17&lt;='01_설정'!$B$6,E17&lt;='01_설정'!$B$7),1,0))</x:f>
        <x:v>1</x:v>
      </x:c>
      <x:c r="J17" s="12" t="n">
        <x:f>IF(A17="",0,D17*100000+C17)</x:f>
        <x:v>4626600012</x:v>
      </x:c>
    </x:row>
    <x:row r="18" ht="20" customHeight="1">
      <x:c r="A18" s="22" t="str">
        <x:v>DEMO-S099</x:v>
      </x:c>
      <x:c r="B18" s="22" t="str">
        <x:v>DEMO-M003</x:v>
      </x:c>
      <x:c r="C18" s="22" t="n">
        <x:v>99</x:v>
      </x:c>
      <x:c r="D18" s="28" t="n">
        <x:v>46235</x:v>
      </x:c>
      <x:c r="E18" s="28" t="n">
        <x:v>46236</x:v>
      </x:c>
      <x:c r="F18" s="22" t="str">
        <x:v>inactive</x:v>
      </x:c>
      <x:c r="G18" s="22" t="str">
        <x:v>DEMO-PUBLIC</x:v>
      </x:c>
      <x:c r="H18" s="12" t="n">
        <x:f>IF(A18="",0,IF(F18="active",1,IF(F18="inactive",2,0)))</x:f>
        <x:v>2</x:v>
      </x:c>
      <x:c r="I18" s="12" t="n">
        <x:f>IF(A18="",0,IF(AND(D18&lt;='01_설정'!$B$6,E18&lt;='01_설정'!$B$7),1,0))</x:f>
        <x:v>1</x:v>
      </x:c>
      <x:c r="J18" s="12" t="n">
        <x:f>IF(A18="",0,D18*100000+C18)</x:f>
        <x:v>4623500099</x:v>
      </x:c>
    </x:row>
    <x:row r="19" ht="20" customHeight="1">
      <x:c r="A19" s="22"/>
      <x:c r="B19" s="22"/>
      <x:c r="C19" s="22"/>
      <x:c r="D19" s="28"/>
      <x:c r="E19" s="28"/>
      <x:c r="F19" s="22"/>
      <x:c r="G19" s="22"/>
      <x:c r="H19" s="12" t="n">
        <x:f>IF(A19="",0,IF(F19="active",1,IF(F19="inactive",2,0)))</x:f>
        <x:v>0</x:v>
      </x:c>
      <x:c r="I19" s="12" t="n">
        <x:f>IF(A19="",0,IF(AND(D19&lt;='01_설정'!$B$6,E19&lt;='01_설정'!$B$7),1,0))</x:f>
        <x:v>0</x:v>
      </x:c>
      <x:c r="J19" s="12" t="n">
        <x:f>IF(A19="",0,D19*100000+C19)</x:f>
        <x:v>0</x:v>
      </x:c>
    </x:row>
    <x:row r="20" ht="20" customHeight="1">
      <x:c r="A20" s="22"/>
      <x:c r="B20" s="22"/>
      <x:c r="C20" s="22"/>
      <x:c r="D20" s="28"/>
      <x:c r="E20" s="28"/>
      <x:c r="F20" s="22"/>
      <x:c r="G20" s="22"/>
      <x:c r="H20" s="12" t="n">
        <x:f>IF(A20="",0,IF(F20="active",1,IF(F20="inactive",2,0)))</x:f>
        <x:v>0</x:v>
      </x:c>
      <x:c r="I20" s="12" t="n">
        <x:f>IF(A20="",0,IF(AND(D20&lt;='01_설정'!$B$6,E20&lt;='01_설정'!$B$7),1,0))</x:f>
        <x:v>0</x:v>
      </x:c>
      <x:c r="J20" s="12" t="n">
        <x:f>IF(A20="",0,D20*100000+C20)</x:f>
        <x:v>0</x:v>
      </x:c>
    </x:row>
    <x:row r="21" ht="20" customHeight="1">
      <x:c r="A21" s="22"/>
      <x:c r="B21" s="22"/>
      <x:c r="C21" s="22"/>
      <x:c r="D21" s="28"/>
      <x:c r="E21" s="28"/>
      <x:c r="F21" s="22"/>
      <x:c r="G21" s="22"/>
      <x:c r="H21" s="12" t="n">
        <x:f>IF(A21="",0,IF(F21="active",1,IF(F21="inactive",2,0)))</x:f>
        <x:v>0</x:v>
      </x:c>
      <x:c r="I21" s="12" t="n">
        <x:f>IF(A21="",0,IF(AND(D21&lt;='01_설정'!$B$6,E21&lt;='01_설정'!$B$7),1,0))</x:f>
        <x:v>0</x:v>
      </x:c>
      <x:c r="J21" s="12" t="n">
        <x:f>IF(A21="",0,D21*100000+C21)</x:f>
        <x:v>0</x:v>
      </x:c>
    </x:row>
    <x:row r="22" ht="20" customHeight="1">
      <x:c r="A22" s="22"/>
      <x:c r="B22" s="22"/>
      <x:c r="C22" s="22"/>
      <x:c r="D22" s="28"/>
      <x:c r="E22" s="28"/>
      <x:c r="F22" s="22"/>
      <x:c r="G22" s="22"/>
      <x:c r="H22" s="12" t="n">
        <x:f>IF(A22="",0,IF(F22="active",1,IF(F22="inactive",2,0)))</x:f>
        <x:v>0</x:v>
      </x:c>
      <x:c r="I22" s="12" t="n">
        <x:f>IF(A22="",0,IF(AND(D22&lt;='01_설정'!$B$6,E22&lt;='01_설정'!$B$7),1,0))</x:f>
        <x:v>0</x:v>
      </x:c>
      <x:c r="J22" s="12" t="n">
        <x:f>IF(A22="",0,D22*100000+C22)</x:f>
        <x:v>0</x:v>
      </x:c>
    </x:row>
    <x:row r="23" ht="20" customHeight="1">
      <x:c r="A23" s="22"/>
      <x:c r="B23" s="22"/>
      <x:c r="C23" s="22"/>
      <x:c r="D23" s="28"/>
      <x:c r="E23" s="28"/>
      <x:c r="F23" s="22"/>
      <x:c r="G23" s="22"/>
      <x:c r="H23" s="12" t="n">
        <x:f>IF(A23="",0,IF(F23="active",1,IF(F23="inactive",2,0)))</x:f>
        <x:v>0</x:v>
      </x:c>
      <x:c r="I23" s="12" t="n">
        <x:f>IF(A23="",0,IF(AND(D23&lt;='01_설정'!$B$6,E23&lt;='01_설정'!$B$7),1,0))</x:f>
        <x:v>0</x:v>
      </x:c>
      <x:c r="J23" s="12" t="n">
        <x:f>IF(A23="",0,D23*100000+C23)</x:f>
        <x:v>0</x:v>
      </x:c>
    </x:row>
    <x:row r="24" ht="20" customHeight="1">
      <x:c r="A24" s="22"/>
      <x:c r="B24" s="22"/>
      <x:c r="C24" s="22"/>
      <x:c r="D24" s="28"/>
      <x:c r="E24" s="28"/>
      <x:c r="F24" s="22"/>
      <x:c r="G24" s="22"/>
      <x:c r="H24" s="12" t="n">
        <x:f>IF(A24="",0,IF(F24="active",1,IF(F24="inactive",2,0)))</x:f>
        <x:v>0</x:v>
      </x:c>
      <x:c r="I24" s="12" t="n">
        <x:f>IF(A24="",0,IF(AND(D24&lt;='01_설정'!$B$6,E24&lt;='01_설정'!$B$7),1,0))</x:f>
        <x:v>0</x:v>
      </x:c>
      <x:c r="J24" s="12" t="n">
        <x:f>IF(A24="",0,D24*100000+C24)</x:f>
        <x:v>0</x:v>
      </x:c>
    </x:row>
    <x:row r="25" ht="20" customHeight="1">
      <x:c r="A25" s="22"/>
      <x:c r="B25" s="22"/>
      <x:c r="C25" s="22"/>
      <x:c r="D25" s="28"/>
      <x:c r="E25" s="28"/>
      <x:c r="F25" s="22"/>
      <x:c r="G25" s="22"/>
      <x:c r="H25" s="12" t="n">
        <x:f>IF(A25="",0,IF(F25="active",1,IF(F25="inactive",2,0)))</x:f>
        <x:v>0</x:v>
      </x:c>
      <x:c r="I25" s="12" t="n">
        <x:f>IF(A25="",0,IF(AND(D25&lt;='01_설정'!$B$6,E25&lt;='01_설정'!$B$7),1,0))</x:f>
        <x:v>0</x:v>
      </x:c>
      <x:c r="J25" s="12" t="n">
        <x:f>IF(A25="",0,D25*100000+C25)</x:f>
        <x:v>0</x:v>
      </x:c>
    </x:row>
    <x:row r="26" ht="20" customHeight="1">
      <x:c r="A26" s="22"/>
      <x:c r="B26" s="22"/>
      <x:c r="C26" s="22"/>
      <x:c r="D26" s="28"/>
      <x:c r="E26" s="28"/>
      <x:c r="F26" s="22"/>
      <x:c r="G26" s="22"/>
      <x:c r="H26" s="12" t="n">
        <x:f>IF(A26="",0,IF(F26="active",1,IF(F26="inactive",2,0)))</x:f>
        <x:v>0</x:v>
      </x:c>
      <x:c r="I26" s="12" t="n">
        <x:f>IF(A26="",0,IF(AND(D26&lt;='01_설정'!$B$6,E26&lt;='01_설정'!$B$7),1,0))</x:f>
        <x:v>0</x:v>
      </x:c>
      <x:c r="J26" s="12" t="n">
        <x:f>IF(A26="",0,D26*100000+C26)</x:f>
        <x:v>0</x:v>
      </x:c>
    </x:row>
    <x:row r="27" ht="20" customHeight="1">
      <x:c r="A27" s="22"/>
      <x:c r="B27" s="22"/>
      <x:c r="C27" s="22"/>
      <x:c r="D27" s="28"/>
      <x:c r="E27" s="28"/>
      <x:c r="F27" s="22"/>
      <x:c r="G27" s="22"/>
      <x:c r="H27" s="12" t="n">
        <x:f>IF(A27="",0,IF(F27="active",1,IF(F27="inactive",2,0)))</x:f>
        <x:v>0</x:v>
      </x:c>
      <x:c r="I27" s="12" t="n">
        <x:f>IF(A27="",0,IF(AND(D27&lt;='01_설정'!$B$6,E27&lt;='01_설정'!$B$7),1,0))</x:f>
        <x:v>0</x:v>
      </x:c>
      <x:c r="J27" s="12" t="n">
        <x:f>IF(A27="",0,D27*100000+C27)</x:f>
        <x:v>0</x:v>
      </x:c>
    </x:row>
    <x:row r="28" ht="20" customHeight="1">
      <x:c r="A28" s="22"/>
      <x:c r="B28" s="22"/>
      <x:c r="C28" s="22"/>
      <x:c r="D28" s="28"/>
      <x:c r="E28" s="28"/>
      <x:c r="F28" s="22"/>
      <x:c r="G28" s="22"/>
      <x:c r="H28" s="12" t="n">
        <x:f>IF(A28="",0,IF(F28="active",1,IF(F28="inactive",2,0)))</x:f>
        <x:v>0</x:v>
      </x:c>
      <x:c r="I28" s="12" t="n">
        <x:f>IF(A28="",0,IF(AND(D28&lt;='01_설정'!$B$6,E28&lt;='01_설정'!$B$7),1,0))</x:f>
        <x:v>0</x:v>
      </x:c>
      <x:c r="J28" s="12" t="n">
        <x:f>IF(A28="",0,D28*100000+C28)</x:f>
        <x:v>0</x:v>
      </x:c>
    </x:row>
    <x:row r="29" ht="20" customHeight="1">
      <x:c r="A29" s="22"/>
      <x:c r="B29" s="22"/>
      <x:c r="C29" s="22"/>
      <x:c r="D29" s="28"/>
      <x:c r="E29" s="28"/>
      <x:c r="F29" s="22"/>
      <x:c r="G29" s="22"/>
      <x:c r="H29" s="12" t="n">
        <x:f>IF(A29="",0,IF(F29="active",1,IF(F29="inactive",2,0)))</x:f>
        <x:v>0</x:v>
      </x:c>
      <x:c r="I29" s="12" t="n">
        <x:f>IF(A29="",0,IF(AND(D29&lt;='01_설정'!$B$6,E29&lt;='01_설정'!$B$7),1,0))</x:f>
        <x:v>0</x:v>
      </x:c>
      <x:c r="J29" s="12" t="n">
        <x:f>IF(A29="",0,D29*100000+C29)</x:f>
        <x:v>0</x:v>
      </x:c>
    </x:row>
    <x:row r="30" ht="20" customHeight="1">
      <x:c r="A30" s="22"/>
      <x:c r="B30" s="22"/>
      <x:c r="C30" s="22"/>
      <x:c r="D30" s="28"/>
      <x:c r="E30" s="28"/>
      <x:c r="F30" s="22"/>
      <x:c r="G30" s="22"/>
      <x:c r="H30" s="12" t="n">
        <x:f>IF(A30="",0,IF(F30="active",1,IF(F30="inactive",2,0)))</x:f>
        <x:v>0</x:v>
      </x:c>
      <x:c r="I30" s="12" t="n">
        <x:f>IF(A30="",0,IF(AND(D30&lt;='01_설정'!$B$6,E30&lt;='01_설정'!$B$7),1,0))</x:f>
        <x:v>0</x:v>
      </x:c>
      <x:c r="J30" s="12" t="n">
        <x:f>IF(A30="",0,D30*100000+C30)</x:f>
        <x:v>0</x:v>
      </x:c>
    </x:row>
    <x:row r="31" ht="20" customHeight="1">
      <x:c r="A31" s="22"/>
      <x:c r="B31" s="22"/>
      <x:c r="C31" s="22"/>
      <x:c r="D31" s="28"/>
      <x:c r="E31" s="28"/>
      <x:c r="F31" s="22"/>
      <x:c r="G31" s="22"/>
      <x:c r="H31" s="12" t="n">
        <x:f>IF(A31="",0,IF(F31="active",1,IF(F31="inactive",2,0)))</x:f>
        <x:v>0</x:v>
      </x:c>
      <x:c r="I31" s="12" t="n">
        <x:f>IF(A31="",0,IF(AND(D31&lt;='01_설정'!$B$6,E31&lt;='01_설정'!$B$7),1,0))</x:f>
        <x:v>0</x:v>
      </x:c>
      <x:c r="J31" s="12" t="n">
        <x:f>IF(A31="",0,D31*100000+C31)</x:f>
        <x:v>0</x:v>
      </x:c>
    </x:row>
    <x:row r="32" ht="20" customHeight="1">
      <x:c r="A32" s="22"/>
      <x:c r="B32" s="22"/>
      <x:c r="C32" s="22"/>
      <x:c r="D32" s="28"/>
      <x:c r="E32" s="28"/>
      <x:c r="F32" s="22"/>
      <x:c r="G32" s="22"/>
      <x:c r="H32" s="12" t="n">
        <x:f>IF(A32="",0,IF(F32="active",1,IF(F32="inactive",2,0)))</x:f>
        <x:v>0</x:v>
      </x:c>
      <x:c r="I32" s="12" t="n">
        <x:f>IF(A32="",0,IF(AND(D32&lt;='01_설정'!$B$6,E32&lt;='01_설정'!$B$7),1,0))</x:f>
        <x:v>0</x:v>
      </x:c>
      <x:c r="J32" s="12" t="n">
        <x:f>IF(A32="",0,D32*100000+C32)</x:f>
        <x:v>0</x:v>
      </x:c>
    </x:row>
    <x:row r="33" ht="20" customHeight="1">
      <x:c r="A33" s="22"/>
      <x:c r="B33" s="22"/>
      <x:c r="C33" s="22"/>
      <x:c r="D33" s="28"/>
      <x:c r="E33" s="28"/>
      <x:c r="F33" s="22"/>
      <x:c r="G33" s="22"/>
      <x:c r="H33" s="12" t="n">
        <x:f>IF(A33="",0,IF(F33="active",1,IF(F33="inactive",2,0)))</x:f>
        <x:v>0</x:v>
      </x:c>
      <x:c r="I33" s="12" t="n">
        <x:f>IF(A33="",0,IF(AND(D33&lt;='01_설정'!$B$6,E33&lt;='01_설정'!$B$7),1,0))</x:f>
        <x:v>0</x:v>
      </x:c>
      <x:c r="J33" s="12" t="n">
        <x:f>IF(A33="",0,D33*100000+C33)</x:f>
        <x:v>0</x:v>
      </x:c>
    </x:row>
    <x:row r="34" ht="20" customHeight="1">
      <x:c r="A34" s="22"/>
      <x:c r="B34" s="22"/>
      <x:c r="C34" s="22"/>
      <x:c r="D34" s="28"/>
      <x:c r="E34" s="28"/>
      <x:c r="F34" s="22"/>
      <x:c r="G34" s="22"/>
      <x:c r="H34" s="12" t="n">
        <x:f>IF(A34="",0,IF(F34="active",1,IF(F34="inactive",2,0)))</x:f>
        <x:v>0</x:v>
      </x:c>
      <x:c r="I34" s="12" t="n">
        <x:f>IF(A34="",0,IF(AND(D34&lt;='01_설정'!$B$6,E34&lt;='01_설정'!$B$7),1,0))</x:f>
        <x:v>0</x:v>
      </x:c>
      <x:c r="J34" s="12" t="n">
        <x:f>IF(A34="",0,D34*100000+C34)</x:f>
        <x:v>0</x:v>
      </x:c>
    </x:row>
    <x:row r="35" ht="20" customHeight="1">
      <x:c r="A35" s="22"/>
      <x:c r="B35" s="22"/>
      <x:c r="C35" s="22"/>
      <x:c r="D35" s="28"/>
      <x:c r="E35" s="28"/>
      <x:c r="F35" s="22"/>
      <x:c r="G35" s="22"/>
      <x:c r="H35" s="12" t="n">
        <x:f>IF(A35="",0,IF(F35="active",1,IF(F35="inactive",2,0)))</x:f>
        <x:v>0</x:v>
      </x:c>
      <x:c r="I35" s="12" t="n">
        <x:f>IF(A35="",0,IF(AND(D35&lt;='01_설정'!$B$6,E35&lt;='01_설정'!$B$7),1,0))</x:f>
        <x:v>0</x:v>
      </x:c>
      <x:c r="J35" s="12" t="n">
        <x:f>IF(A35="",0,D35*100000+C35)</x:f>
        <x:v>0</x:v>
      </x:c>
    </x:row>
    <x:row r="36" ht="20" customHeight="1">
      <x:c r="A36" s="22"/>
      <x:c r="B36" s="22"/>
      <x:c r="C36" s="22"/>
      <x:c r="D36" s="28"/>
      <x:c r="E36" s="28"/>
      <x:c r="F36" s="22"/>
      <x:c r="G36" s="22"/>
      <x:c r="H36" s="12" t="n">
        <x:f>IF(A36="",0,IF(F36="active",1,IF(F36="inactive",2,0)))</x:f>
        <x:v>0</x:v>
      </x:c>
      <x:c r="I36" s="12" t="n">
        <x:f>IF(A36="",0,IF(AND(D36&lt;='01_설정'!$B$6,E36&lt;='01_설정'!$B$7),1,0))</x:f>
        <x:v>0</x:v>
      </x:c>
      <x:c r="J36" s="12" t="n">
        <x:f>IF(A36="",0,D36*100000+C36)</x:f>
        <x:v>0</x:v>
      </x:c>
    </x:row>
    <x:row r="37" ht="20" customHeight="1">
      <x:c r="A37" s="22"/>
      <x:c r="B37" s="22"/>
      <x:c r="C37" s="22"/>
      <x:c r="D37" s="28"/>
      <x:c r="E37" s="28"/>
      <x:c r="F37" s="22"/>
      <x:c r="G37" s="22"/>
      <x:c r="H37" s="12" t="n">
        <x:f>IF(A37="",0,IF(F37="active",1,IF(F37="inactive",2,0)))</x:f>
        <x:v>0</x:v>
      </x:c>
      <x:c r="I37" s="12" t="n">
        <x:f>IF(A37="",0,IF(AND(D37&lt;='01_설정'!$B$6,E37&lt;='01_설정'!$B$7),1,0))</x:f>
        <x:v>0</x:v>
      </x:c>
      <x:c r="J37" s="12" t="n">
        <x:f>IF(A37="",0,D37*100000+C37)</x:f>
        <x:v>0</x:v>
      </x:c>
    </x:row>
    <x:row r="38" ht="20" customHeight="1">
      <x:c r="A38" s="22"/>
      <x:c r="B38" s="22"/>
      <x:c r="C38" s="22"/>
      <x:c r="D38" s="28"/>
      <x:c r="E38" s="28"/>
      <x:c r="F38" s="22"/>
      <x:c r="G38" s="22"/>
      <x:c r="H38" s="12" t="n">
        <x:f>IF(A38="",0,IF(F38="active",1,IF(F38="inactive",2,0)))</x:f>
        <x:v>0</x:v>
      </x:c>
      <x:c r="I38" s="12" t="n">
        <x:f>IF(A38="",0,IF(AND(D38&lt;='01_설정'!$B$6,E38&lt;='01_설정'!$B$7),1,0))</x:f>
        <x:v>0</x:v>
      </x:c>
      <x:c r="J38" s="12" t="n">
        <x:f>IF(A38="",0,D38*100000+C38)</x:f>
        <x:v>0</x:v>
      </x:c>
    </x:row>
    <x:row r="39" ht="20" customHeight="1">
      <x:c r="A39" s="22"/>
      <x:c r="B39" s="22"/>
      <x:c r="C39" s="22"/>
      <x:c r="D39" s="28"/>
      <x:c r="E39" s="28"/>
      <x:c r="F39" s="22"/>
      <x:c r="G39" s="22"/>
      <x:c r="H39" s="12" t="n">
        <x:f>IF(A39="",0,IF(F39="active",1,IF(F39="inactive",2,0)))</x:f>
        <x:v>0</x:v>
      </x:c>
      <x:c r="I39" s="12" t="n">
        <x:f>IF(A39="",0,IF(AND(D39&lt;='01_설정'!$B$6,E39&lt;='01_설정'!$B$7),1,0))</x:f>
        <x:v>0</x:v>
      </x:c>
      <x:c r="J39" s="12" t="n">
        <x:f>IF(A39="",0,D39*100000+C39)</x:f>
        <x:v>0</x:v>
      </x:c>
    </x:row>
    <x:row r="40" ht="20" customHeight="1">
      <x:c r="A40" s="22"/>
      <x:c r="B40" s="22"/>
      <x:c r="C40" s="22"/>
      <x:c r="D40" s="28"/>
      <x:c r="E40" s="28"/>
      <x:c r="F40" s="22"/>
      <x:c r="G40" s="22"/>
      <x:c r="H40" s="12" t="n">
        <x:f>IF(A40="",0,IF(F40="active",1,IF(F40="inactive",2,0)))</x:f>
        <x:v>0</x:v>
      </x:c>
      <x:c r="I40" s="12" t="n">
        <x:f>IF(A40="",0,IF(AND(D40&lt;='01_설정'!$B$6,E40&lt;='01_설정'!$B$7),1,0))</x:f>
        <x:v>0</x:v>
      </x:c>
      <x:c r="J40" s="12" t="n">
        <x:f>IF(A40="",0,D40*100000+C40)</x:f>
        <x:v>0</x:v>
      </x:c>
    </x:row>
    <x:row r="41" ht="20" customHeight="1">
      <x:c r="A41" s="22"/>
      <x:c r="B41" s="22"/>
      <x:c r="C41" s="22"/>
      <x:c r="D41" s="28"/>
      <x:c r="E41" s="28"/>
      <x:c r="F41" s="22"/>
      <x:c r="G41" s="22"/>
      <x:c r="H41" s="12" t="n">
        <x:f>IF(A41="",0,IF(F41="active",1,IF(F41="inactive",2,0)))</x:f>
        <x:v>0</x:v>
      </x:c>
      <x:c r="I41" s="12" t="n">
        <x:f>IF(A41="",0,IF(AND(D41&lt;='01_설정'!$B$6,E41&lt;='01_설정'!$B$7),1,0))</x:f>
        <x:v>0</x:v>
      </x:c>
      <x:c r="J41" s="12" t="n">
        <x:f>IF(A41="",0,D41*100000+C41)</x:f>
        <x:v>0</x:v>
      </x:c>
    </x:row>
    <x:row r="42" ht="20" customHeight="1">
      <x:c r="A42" s="22"/>
      <x:c r="B42" s="22"/>
      <x:c r="C42" s="22"/>
      <x:c r="D42" s="28"/>
      <x:c r="E42" s="28"/>
      <x:c r="F42" s="22"/>
      <x:c r="G42" s="22"/>
      <x:c r="H42" s="12" t="n">
        <x:f>IF(A42="",0,IF(F42="active",1,IF(F42="inactive",2,0)))</x:f>
        <x:v>0</x:v>
      </x:c>
      <x:c r="I42" s="12" t="n">
        <x:f>IF(A42="",0,IF(AND(D42&lt;='01_설정'!$B$6,E42&lt;='01_설정'!$B$7),1,0))</x:f>
        <x:v>0</x:v>
      </x:c>
      <x:c r="J42" s="12" t="n">
        <x:f>IF(A42="",0,D42*100000+C42)</x:f>
        <x:v>0</x:v>
      </x:c>
    </x:row>
    <x:row r="43" ht="20" customHeight="1">
      <x:c r="A43" s="22"/>
      <x:c r="B43" s="22"/>
      <x:c r="C43" s="22"/>
      <x:c r="D43" s="28"/>
      <x:c r="E43" s="28"/>
      <x:c r="F43" s="22"/>
      <x:c r="G43" s="22"/>
      <x:c r="H43" s="12" t="n">
        <x:f>IF(A43="",0,IF(F43="active",1,IF(F43="inactive",2,0)))</x:f>
        <x:v>0</x:v>
      </x:c>
      <x:c r="I43" s="12" t="n">
        <x:f>IF(A43="",0,IF(AND(D43&lt;='01_설정'!$B$6,E43&lt;='01_설정'!$B$7),1,0))</x:f>
        <x:v>0</x:v>
      </x:c>
      <x:c r="J43" s="12" t="n">
        <x:f>IF(A43="",0,D43*100000+C43)</x:f>
        <x:v>0</x:v>
      </x:c>
    </x:row>
    <x:row r="44" ht="20" customHeight="1">
      <x:c r="A44" s="22"/>
      <x:c r="B44" s="22"/>
      <x:c r="C44" s="22"/>
      <x:c r="D44" s="28"/>
      <x:c r="E44" s="28"/>
      <x:c r="F44" s="22"/>
      <x:c r="G44" s="22"/>
      <x:c r="H44" s="12" t="n">
        <x:f>IF(A44="",0,IF(F44="active",1,IF(F44="inactive",2,0)))</x:f>
        <x:v>0</x:v>
      </x:c>
      <x:c r="I44" s="12" t="n">
        <x:f>IF(A44="",0,IF(AND(D44&lt;='01_설정'!$B$6,E44&lt;='01_설정'!$B$7),1,0))</x:f>
        <x:v>0</x:v>
      </x:c>
      <x:c r="J44" s="12" t="n">
        <x:f>IF(A44="",0,D44*100000+C44)</x:f>
        <x:v>0</x:v>
      </x:c>
    </x:row>
    <x:row r="45" ht="20" customHeight="1">
      <x:c r="A45" s="22"/>
      <x:c r="B45" s="22"/>
      <x:c r="C45" s="22"/>
      <x:c r="D45" s="28"/>
      <x:c r="E45" s="28"/>
      <x:c r="F45" s="22"/>
      <x:c r="G45" s="22"/>
      <x:c r="H45" s="12" t="n">
        <x:f>IF(A45="",0,IF(F45="active",1,IF(F45="inactive",2,0)))</x:f>
        <x:v>0</x:v>
      </x:c>
      <x:c r="I45" s="12" t="n">
        <x:f>IF(A45="",0,IF(AND(D45&lt;='01_설정'!$B$6,E45&lt;='01_설정'!$B$7),1,0))</x:f>
        <x:v>0</x:v>
      </x:c>
      <x:c r="J45" s="12" t="n">
        <x:f>IF(A45="",0,D45*100000+C45)</x:f>
        <x:v>0</x:v>
      </x:c>
    </x:row>
    <x:row r="46" ht="20" customHeight="1">
      <x:c r="A46" s="22"/>
      <x:c r="B46" s="22"/>
      <x:c r="C46" s="22"/>
      <x:c r="D46" s="28"/>
      <x:c r="E46" s="28"/>
      <x:c r="F46" s="22"/>
      <x:c r="G46" s="22"/>
      <x:c r="H46" s="12" t="n">
        <x:f>IF(A46="",0,IF(F46="active",1,IF(F46="inactive",2,0)))</x:f>
        <x:v>0</x:v>
      </x:c>
      <x:c r="I46" s="12" t="n">
        <x:f>IF(A46="",0,IF(AND(D46&lt;='01_설정'!$B$6,E46&lt;='01_설정'!$B$7),1,0))</x:f>
        <x:v>0</x:v>
      </x:c>
      <x:c r="J46" s="12" t="n">
        <x:f>IF(A46="",0,D46*100000+C46)</x:f>
        <x:v>0</x:v>
      </x:c>
    </x:row>
    <x:row r="47" ht="20" customHeight="1">
      <x:c r="A47" s="22"/>
      <x:c r="B47" s="22"/>
      <x:c r="C47" s="22"/>
      <x:c r="D47" s="28"/>
      <x:c r="E47" s="28"/>
      <x:c r="F47" s="22"/>
      <x:c r="G47" s="22"/>
      <x:c r="H47" s="12" t="n">
        <x:f>IF(A47="",0,IF(F47="active",1,IF(F47="inactive",2,0)))</x:f>
        <x:v>0</x:v>
      </x:c>
      <x:c r="I47" s="12" t="n">
        <x:f>IF(A47="",0,IF(AND(D47&lt;='01_설정'!$B$6,E47&lt;='01_설정'!$B$7),1,0))</x:f>
        <x:v>0</x:v>
      </x:c>
      <x:c r="J47" s="12" t="n">
        <x:f>IF(A47="",0,D47*100000+C47)</x:f>
        <x:v>0</x:v>
      </x:c>
    </x:row>
    <x:row r="48" ht="20" customHeight="1">
      <x:c r="A48" s="22"/>
      <x:c r="B48" s="22"/>
      <x:c r="C48" s="22"/>
      <x:c r="D48" s="28"/>
      <x:c r="E48" s="28"/>
      <x:c r="F48" s="22"/>
      <x:c r="G48" s="22"/>
      <x:c r="H48" s="12" t="n">
        <x:f>IF(A48="",0,IF(F48="active",1,IF(F48="inactive",2,0)))</x:f>
        <x:v>0</x:v>
      </x:c>
      <x:c r="I48" s="12" t="n">
        <x:f>IF(A48="",0,IF(AND(D48&lt;='01_설정'!$B$6,E48&lt;='01_설정'!$B$7),1,0))</x:f>
        <x:v>0</x:v>
      </x:c>
      <x:c r="J48" s="12" t="n">
        <x:f>IF(A48="",0,D48*100000+C48)</x:f>
        <x:v>0</x:v>
      </x:c>
    </x:row>
    <x:row r="49" ht="20" customHeight="1">
      <x:c r="A49" s="22"/>
      <x:c r="B49" s="22"/>
      <x:c r="C49" s="22"/>
      <x:c r="D49" s="28"/>
      <x:c r="E49" s="28"/>
      <x:c r="F49" s="22"/>
      <x:c r="G49" s="22"/>
      <x:c r="H49" s="12" t="n">
        <x:f>IF(A49="",0,IF(F49="active",1,IF(F49="inactive",2,0)))</x:f>
        <x:v>0</x:v>
      </x:c>
      <x:c r="I49" s="12" t="n">
        <x:f>IF(A49="",0,IF(AND(D49&lt;='01_설정'!$B$6,E49&lt;='01_설정'!$B$7),1,0))</x:f>
        <x:v>0</x:v>
      </x:c>
      <x:c r="J49" s="12" t="n">
        <x:f>IF(A49="",0,D49*100000+C49)</x:f>
        <x:v>0</x:v>
      </x:c>
    </x:row>
    <x:row r="50" ht="20" customHeight="1">
      <x:c r="A50" s="22"/>
      <x:c r="B50" s="22"/>
      <x:c r="C50" s="22"/>
      <x:c r="D50" s="28"/>
      <x:c r="E50" s="28"/>
      <x:c r="F50" s="22"/>
      <x:c r="G50" s="22"/>
      <x:c r="H50" s="12" t="n">
        <x:f>IF(A50="",0,IF(F50="active",1,IF(F50="inactive",2,0)))</x:f>
        <x:v>0</x:v>
      </x:c>
      <x:c r="I50" s="12" t="n">
        <x:f>IF(A50="",0,IF(AND(D50&lt;='01_설정'!$B$6,E50&lt;='01_설정'!$B$7),1,0))</x:f>
        <x:v>0</x:v>
      </x:c>
      <x:c r="J50" s="12" t="n">
        <x:f>IF(A50="",0,D50*100000+C50)</x:f>
        <x:v>0</x:v>
      </x:c>
    </x:row>
    <x:row r="51" ht="20" customHeight="1">
      <x:c r="A51" s="22"/>
      <x:c r="B51" s="22"/>
      <x:c r="C51" s="22"/>
      <x:c r="D51" s="28"/>
      <x:c r="E51" s="28"/>
      <x:c r="F51" s="22"/>
      <x:c r="G51" s="22"/>
      <x:c r="H51" s="36" t="n">
        <x:f>IF(A51="",0,IF(F51="active",1,IF(F51="inactive",2,0)))</x:f>
        <x:v>0</x:v>
      </x:c>
      <x:c r="I51" s="36" t="n">
        <x:f>IF(A51="",0,IF(AND(D51&lt;='01_설정'!$B$6,E51&lt;='01_설정'!$B$7),1,0))</x:f>
        <x:v>0</x:v>
      </x:c>
      <x:c r="J51" s="36" t="n">
        <x:f>IF(A51="",0,D51*100000+C51)</x:f>
        <x:v>0</x:v>
      </x:c>
    </x:row>
    <x:row r="52" ht="20" customHeight="1">
      <x:c r="A52" s="22"/>
      <x:c r="B52" s="22"/>
      <x:c r="C52" s="22"/>
      <x:c r="D52" s="28"/>
      <x:c r="E52" s="28"/>
      <x:c r="F52" s="22"/>
      <x:c r="G52" s="22"/>
      <x:c r="H52" s="36" t="n">
        <x:f>IF(A52="",0,IF(F52="active",1,IF(F52="inactive",2,0)))</x:f>
        <x:v>0</x:v>
      </x:c>
      <x:c r="I52" s="36" t="n">
        <x:f>IF(A52="",0,IF(AND(D52&lt;='01_설정'!$B$6,E52&lt;='01_설정'!$B$7),1,0))</x:f>
        <x:v>0</x:v>
      </x:c>
      <x:c r="J52" s="36" t="n">
        <x:f>IF(A52="",0,D52*100000+C52)</x:f>
        <x:v>0</x:v>
      </x:c>
    </x:row>
    <x:row r="53" ht="20" customHeight="1">
      <x:c r="A53" s="22"/>
      <x:c r="B53" s="22"/>
      <x:c r="C53" s="22"/>
      <x:c r="D53" s="28"/>
      <x:c r="E53" s="28"/>
      <x:c r="F53" s="22"/>
      <x:c r="G53" s="22"/>
      <x:c r="H53" s="36" t="n">
        <x:f>IF(A53="",0,IF(F53="active",1,IF(F53="inactive",2,0)))</x:f>
        <x:v>0</x:v>
      </x:c>
      <x:c r="I53" s="36" t="n">
        <x:f>IF(A53="",0,IF(AND(D53&lt;='01_설정'!$B$6,E53&lt;='01_설정'!$B$7),1,0))</x:f>
        <x:v>0</x:v>
      </x:c>
      <x:c r="J53" s="36" t="n">
        <x:f>IF(A53="",0,D53*100000+C53)</x:f>
        <x:v>0</x:v>
      </x:c>
    </x:row>
    <x:row r="54" ht="20" customHeight="1">
      <x:c r="A54" s="22"/>
      <x:c r="B54" s="22"/>
      <x:c r="C54" s="22"/>
      <x:c r="D54" s="28"/>
      <x:c r="E54" s="28"/>
      <x:c r="F54" s="22"/>
      <x:c r="G54" s="22"/>
      <x:c r="H54" s="36" t="n">
        <x:f>IF(A54="",0,IF(F54="active",1,IF(F54="inactive",2,0)))</x:f>
        <x:v>0</x:v>
      </x:c>
      <x:c r="I54" s="36" t="n">
        <x:f>IF(A54="",0,IF(AND(D54&lt;='01_설정'!$B$6,E54&lt;='01_설정'!$B$7),1,0))</x:f>
        <x:v>0</x:v>
      </x:c>
      <x:c r="J54" s="36" t="n">
        <x:f>IF(A54="",0,D54*100000+C54)</x:f>
        <x:v>0</x:v>
      </x:c>
    </x:row>
    <x:row r="55" ht="20" customHeight="1">
      <x:c r="A55" s="22"/>
      <x:c r="B55" s="22"/>
      <x:c r="C55" s="22"/>
      <x:c r="D55" s="28"/>
      <x:c r="E55" s="28"/>
      <x:c r="F55" s="22"/>
      <x:c r="G55" s="22"/>
      <x:c r="H55" s="36" t="n">
        <x:f>IF(A55="",0,IF(F55="active",1,IF(F55="inactive",2,0)))</x:f>
        <x:v>0</x:v>
      </x:c>
      <x:c r="I55" s="36" t="n">
        <x:f>IF(A55="",0,IF(AND(D55&lt;='01_설정'!$B$6,E55&lt;='01_설정'!$B$7),1,0))</x:f>
        <x:v>0</x:v>
      </x:c>
      <x:c r="J55" s="36" t="n">
        <x:f>IF(A55="",0,D55*100000+C55)</x:f>
        <x:v>0</x:v>
      </x:c>
    </x:row>
    <x:row r="56" ht="20" customHeight="1">
      <x:c r="A56" s="22"/>
      <x:c r="B56" s="22"/>
      <x:c r="C56" s="22"/>
      <x:c r="D56" s="28"/>
      <x:c r="E56" s="28"/>
      <x:c r="F56" s="22"/>
      <x:c r="G56" s="22"/>
      <x:c r="H56" s="36" t="n">
        <x:f>IF(A56="",0,IF(F56="active",1,IF(F56="inactive",2,0)))</x:f>
        <x:v>0</x:v>
      </x:c>
      <x:c r="I56" s="36" t="n">
        <x:f>IF(A56="",0,IF(AND(D56&lt;='01_설정'!$B$6,E56&lt;='01_설정'!$B$7),1,0))</x:f>
        <x:v>0</x:v>
      </x:c>
      <x:c r="J56" s="36" t="n">
        <x:f>IF(A56="",0,D56*100000+C56)</x:f>
        <x:v>0</x:v>
      </x:c>
    </x:row>
    <x:row r="57" ht="20" customHeight="1">
      <x:c r="A57" s="22"/>
      <x:c r="B57" s="22"/>
      <x:c r="C57" s="22"/>
      <x:c r="D57" s="28"/>
      <x:c r="E57" s="28"/>
      <x:c r="F57" s="22"/>
      <x:c r="G57" s="22"/>
      <x:c r="H57" s="36" t="n">
        <x:f>IF(A57="",0,IF(F57="active",1,IF(F57="inactive",2,0)))</x:f>
        <x:v>0</x:v>
      </x:c>
      <x:c r="I57" s="36" t="n">
        <x:f>IF(A57="",0,IF(AND(D57&lt;='01_설정'!$B$6,E57&lt;='01_설정'!$B$7),1,0))</x:f>
        <x:v>0</x:v>
      </x:c>
      <x:c r="J57" s="36" t="n">
        <x:f>IF(A57="",0,D57*100000+C57)</x:f>
        <x:v>0</x:v>
      </x:c>
    </x:row>
    <x:row r="58" ht="20" customHeight="1">
      <x:c r="A58" s="22"/>
      <x:c r="B58" s="22"/>
      <x:c r="C58" s="22"/>
      <x:c r="D58" s="28"/>
      <x:c r="E58" s="28"/>
      <x:c r="F58" s="22"/>
      <x:c r="G58" s="22"/>
      <x:c r="H58" s="36" t="n">
        <x:f>IF(A58="",0,IF(F58="active",1,IF(F58="inactive",2,0)))</x:f>
        <x:v>0</x:v>
      </x:c>
      <x:c r="I58" s="36" t="n">
        <x:f>IF(A58="",0,IF(AND(D58&lt;='01_설정'!$B$6,E58&lt;='01_설정'!$B$7),1,0))</x:f>
        <x:v>0</x:v>
      </x:c>
      <x:c r="J58" s="36" t="n">
        <x:f>IF(A58="",0,D58*100000+C58)</x:f>
        <x:v>0</x:v>
      </x:c>
    </x:row>
    <x:row r="59" ht="20" customHeight="1">
      <x:c r="A59" s="22"/>
      <x:c r="B59" s="22"/>
      <x:c r="C59" s="22"/>
      <x:c r="D59" s="28"/>
      <x:c r="E59" s="28"/>
      <x:c r="F59" s="22"/>
      <x:c r="G59" s="22"/>
      <x:c r="H59" s="36" t="n">
        <x:f>IF(A59="",0,IF(F59="active",1,IF(F59="inactive",2,0)))</x:f>
        <x:v>0</x:v>
      </x:c>
      <x:c r="I59" s="36" t="n">
        <x:f>IF(A59="",0,IF(AND(D59&lt;='01_설정'!$B$6,E59&lt;='01_설정'!$B$7),1,0))</x:f>
        <x:v>0</x:v>
      </x:c>
      <x:c r="J59" s="36" t="n">
        <x:f>IF(A59="",0,D59*100000+C59)</x:f>
        <x:v>0</x:v>
      </x:c>
    </x:row>
    <x:row r="60" ht="20" customHeight="1">
      <x:c r="A60" s="22"/>
      <x:c r="B60" s="22"/>
      <x:c r="C60" s="22"/>
      <x:c r="D60" s="28"/>
      <x:c r="E60" s="28"/>
      <x:c r="F60" s="22"/>
      <x:c r="G60" s="22"/>
      <x:c r="H60" s="36" t="n">
        <x:f>IF(A60="",0,IF(F60="active",1,IF(F60="inactive",2,0)))</x:f>
        <x:v>0</x:v>
      </x:c>
      <x:c r="I60" s="36" t="n">
        <x:f>IF(A60="",0,IF(AND(D60&lt;='01_설정'!$B$6,E60&lt;='01_설정'!$B$7),1,0))</x:f>
        <x:v>0</x:v>
      </x:c>
      <x:c r="J60" s="36" t="n">
        <x:f>IF(A60="",0,D60*100000+C60)</x:f>
        <x:v>0</x:v>
      </x:c>
    </x:row>
    <x:row r="61" ht="20" customHeight="1">
      <x:c r="A61" s="22"/>
      <x:c r="B61" s="22"/>
      <x:c r="C61" s="22"/>
      <x:c r="D61" s="28"/>
      <x:c r="E61" s="28"/>
      <x:c r="F61" s="22"/>
      <x:c r="G61" s="22"/>
      <x:c r="H61" s="36" t="n">
        <x:f>IF(A61="",0,IF(F61="active",1,IF(F61="inactive",2,0)))</x:f>
        <x:v>0</x:v>
      </x:c>
      <x:c r="I61" s="36" t="n">
        <x:f>IF(A61="",0,IF(AND(D61&lt;='01_설정'!$B$6,E61&lt;='01_설정'!$B$7),1,0))</x:f>
        <x:v>0</x:v>
      </x:c>
      <x:c r="J61" s="36" t="n">
        <x:f>IF(A61="",0,D61*100000+C61)</x:f>
        <x:v>0</x:v>
      </x:c>
    </x:row>
    <x:row r="62" ht="20" customHeight="1">
      <x:c r="A62" s="22"/>
      <x:c r="B62" s="22"/>
      <x:c r="C62" s="22"/>
      <x:c r="D62" s="28"/>
      <x:c r="E62" s="28"/>
      <x:c r="F62" s="22"/>
      <x:c r="G62" s="22"/>
      <x:c r="H62" s="36" t="n">
        <x:f>IF(A62="",0,IF(F62="active",1,IF(F62="inactive",2,0)))</x:f>
        <x:v>0</x:v>
      </x:c>
      <x:c r="I62" s="36" t="n">
        <x:f>IF(A62="",0,IF(AND(D62&lt;='01_설정'!$B$6,E62&lt;='01_설정'!$B$7),1,0))</x:f>
        <x:v>0</x:v>
      </x:c>
      <x:c r="J62" s="36" t="n">
        <x:f>IF(A62="",0,D62*100000+C62)</x:f>
        <x:v>0</x:v>
      </x:c>
    </x:row>
    <x:row r="63" ht="20" customHeight="1">
      <x:c r="A63" s="22"/>
      <x:c r="B63" s="22"/>
      <x:c r="C63" s="22"/>
      <x:c r="D63" s="28"/>
      <x:c r="E63" s="28"/>
      <x:c r="F63" s="22"/>
      <x:c r="G63" s="22"/>
      <x:c r="H63" s="36" t="n">
        <x:f>IF(A63="",0,IF(F63="active",1,IF(F63="inactive",2,0)))</x:f>
        <x:v>0</x:v>
      </x:c>
      <x:c r="I63" s="36" t="n">
        <x:f>IF(A63="",0,IF(AND(D63&lt;='01_설정'!$B$6,E63&lt;='01_설정'!$B$7),1,0))</x:f>
        <x:v>0</x:v>
      </x:c>
      <x:c r="J63" s="36" t="n">
        <x:f>IF(A63="",0,D63*100000+C63)</x:f>
        <x:v>0</x:v>
      </x:c>
    </x:row>
    <x:row r="64" ht="20" customHeight="1">
      <x:c r="A64" s="22"/>
      <x:c r="B64" s="22"/>
      <x:c r="C64" s="22"/>
      <x:c r="D64" s="28"/>
      <x:c r="E64" s="28"/>
      <x:c r="F64" s="22"/>
      <x:c r="G64" s="22"/>
      <x:c r="H64" s="36" t="n">
        <x:f>IF(A64="",0,IF(F64="active",1,IF(F64="inactive",2,0)))</x:f>
        <x:v>0</x:v>
      </x:c>
      <x:c r="I64" s="36" t="n">
        <x:f>IF(A64="",0,IF(AND(D64&lt;='01_설정'!$B$6,E64&lt;='01_설정'!$B$7),1,0))</x:f>
        <x:v>0</x:v>
      </x:c>
      <x:c r="J64" s="36" t="n">
        <x:f>IF(A64="",0,D64*100000+C64)</x:f>
        <x:v>0</x:v>
      </x:c>
    </x:row>
    <x:row r="65" ht="20" customHeight="1">
      <x:c r="A65" s="22"/>
      <x:c r="B65" s="22"/>
      <x:c r="C65" s="22"/>
      <x:c r="D65" s="28"/>
      <x:c r="E65" s="28"/>
      <x:c r="F65" s="22"/>
      <x:c r="G65" s="22"/>
      <x:c r="H65" s="36" t="n">
        <x:f>IF(A65="",0,IF(F65="active",1,IF(F65="inactive",2,0)))</x:f>
        <x:v>0</x:v>
      </x:c>
      <x:c r="I65" s="36" t="n">
        <x:f>IF(A65="",0,IF(AND(D65&lt;='01_설정'!$B$6,E65&lt;='01_설정'!$B$7),1,0))</x:f>
        <x:v>0</x:v>
      </x:c>
      <x:c r="J65" s="36" t="n">
        <x:f>IF(A65="",0,D65*100000+C65)</x:f>
        <x:v>0</x:v>
      </x:c>
    </x:row>
    <x:row r="66" ht="20" customHeight="1">
      <x:c r="A66" s="22"/>
      <x:c r="B66" s="22"/>
      <x:c r="C66" s="22"/>
      <x:c r="D66" s="28"/>
      <x:c r="E66" s="28"/>
      <x:c r="F66" s="22"/>
      <x:c r="G66" s="22"/>
      <x:c r="H66" s="36" t="n">
        <x:f>IF(A66="",0,IF(F66="active",1,IF(F66="inactive",2,0)))</x:f>
        <x:v>0</x:v>
      </x:c>
      <x:c r="I66" s="36" t="n">
        <x:f>IF(A66="",0,IF(AND(D66&lt;='01_설정'!$B$6,E66&lt;='01_설정'!$B$7),1,0))</x:f>
        <x:v>0</x:v>
      </x:c>
      <x:c r="J66" s="36" t="n">
        <x:f>IF(A66="",0,D66*100000+C66)</x:f>
        <x:v>0</x:v>
      </x:c>
    </x:row>
    <x:row r="67" ht="20" customHeight="1">
      <x:c r="A67" s="22"/>
      <x:c r="B67" s="22"/>
      <x:c r="C67" s="22"/>
      <x:c r="D67" s="28"/>
      <x:c r="E67" s="28"/>
      <x:c r="F67" s="22"/>
      <x:c r="G67" s="22"/>
      <x:c r="H67" s="36" t="n">
        <x:f>IF(A67="",0,IF(F67="active",1,IF(F67="inactive",2,0)))</x:f>
        <x:v>0</x:v>
      </x:c>
      <x:c r="I67" s="36" t="n">
        <x:f>IF(A67="",0,IF(AND(D67&lt;='01_설정'!$B$6,E67&lt;='01_설정'!$B$7),1,0))</x:f>
        <x:v>0</x:v>
      </x:c>
      <x:c r="J67" s="36" t="n">
        <x:f>IF(A67="",0,D67*100000+C67)</x:f>
        <x:v>0</x:v>
      </x:c>
    </x:row>
    <x:row r="68" ht="20" customHeight="1">
      <x:c r="A68" s="22"/>
      <x:c r="B68" s="22"/>
      <x:c r="C68" s="22"/>
      <x:c r="D68" s="28"/>
      <x:c r="E68" s="28"/>
      <x:c r="F68" s="22"/>
      <x:c r="G68" s="22"/>
      <x:c r="H68" s="36" t="n">
        <x:f>IF(A68="",0,IF(F68="active",1,IF(F68="inactive",2,0)))</x:f>
        <x:v>0</x:v>
      </x:c>
      <x:c r="I68" s="36" t="n">
        <x:f>IF(A68="",0,IF(AND(D68&lt;='01_설정'!$B$6,E68&lt;='01_설정'!$B$7),1,0))</x:f>
        <x:v>0</x:v>
      </x:c>
      <x:c r="J68" s="36" t="n">
        <x:f>IF(A68="",0,D68*100000+C68)</x:f>
        <x:v>0</x:v>
      </x:c>
    </x:row>
    <x:row r="69" ht="20" customHeight="1">
      <x:c r="A69" s="22"/>
      <x:c r="B69" s="22"/>
      <x:c r="C69" s="22"/>
      <x:c r="D69" s="28"/>
      <x:c r="E69" s="28"/>
      <x:c r="F69" s="22"/>
      <x:c r="G69" s="22"/>
      <x:c r="H69" s="36" t="n">
        <x:f>IF(A69="",0,IF(F69="active",1,IF(F69="inactive",2,0)))</x:f>
        <x:v>0</x:v>
      </x:c>
      <x:c r="I69" s="36" t="n">
        <x:f>IF(A69="",0,IF(AND(D69&lt;='01_설정'!$B$6,E69&lt;='01_설정'!$B$7),1,0))</x:f>
        <x:v>0</x:v>
      </x:c>
      <x:c r="J69" s="36" t="n">
        <x:f>IF(A69="",0,D69*100000+C69)</x:f>
        <x:v>0</x:v>
      </x:c>
    </x:row>
    <x:row r="70" ht="20" customHeight="1">
      <x:c r="A70" s="22"/>
      <x:c r="B70" s="22"/>
      <x:c r="C70" s="22"/>
      <x:c r="D70" s="28"/>
      <x:c r="E70" s="28"/>
      <x:c r="F70" s="22"/>
      <x:c r="G70" s="22"/>
      <x:c r="H70" s="36" t="n">
        <x:f>IF(A70="",0,IF(F70="active",1,IF(F70="inactive",2,0)))</x:f>
        <x:v>0</x:v>
      </x:c>
      <x:c r="I70" s="36" t="n">
        <x:f>IF(A70="",0,IF(AND(D70&lt;='01_설정'!$B$6,E70&lt;='01_설정'!$B$7),1,0))</x:f>
        <x:v>0</x:v>
      </x:c>
      <x:c r="J70" s="36" t="n">
        <x:f>IF(A70="",0,D70*100000+C70)</x:f>
        <x:v>0</x:v>
      </x:c>
    </x:row>
    <x:row r="71" ht="20" customHeight="1">
      <x:c r="A71" s="22"/>
      <x:c r="B71" s="22"/>
      <x:c r="C71" s="22"/>
      <x:c r="D71" s="28"/>
      <x:c r="E71" s="28"/>
      <x:c r="F71" s="22"/>
      <x:c r="G71" s="22"/>
      <x:c r="H71" s="36" t="n">
        <x:f>IF(A71="",0,IF(F71="active",1,IF(F71="inactive",2,0)))</x:f>
        <x:v>0</x:v>
      </x:c>
      <x:c r="I71" s="36" t="n">
        <x:f>IF(A71="",0,IF(AND(D71&lt;='01_설정'!$B$6,E71&lt;='01_설정'!$B$7),1,0))</x:f>
        <x:v>0</x:v>
      </x:c>
      <x:c r="J71" s="36" t="n">
        <x:f>IF(A71="",0,D71*100000+C71)</x:f>
        <x:v>0</x:v>
      </x:c>
    </x:row>
    <x:row r="72" ht="20" customHeight="1">
      <x:c r="A72" s="22"/>
      <x:c r="B72" s="22"/>
      <x:c r="C72" s="22"/>
      <x:c r="D72" s="28"/>
      <x:c r="E72" s="28"/>
      <x:c r="F72" s="22"/>
      <x:c r="G72" s="22"/>
      <x:c r="H72" s="36" t="n">
        <x:f>IF(A72="",0,IF(F72="active",1,IF(F72="inactive",2,0)))</x:f>
        <x:v>0</x:v>
      </x:c>
      <x:c r="I72" s="36" t="n">
        <x:f>IF(A72="",0,IF(AND(D72&lt;='01_설정'!$B$6,E72&lt;='01_설정'!$B$7),1,0))</x:f>
        <x:v>0</x:v>
      </x:c>
      <x:c r="J72" s="36" t="n">
        <x:f>IF(A72="",0,D72*100000+C72)</x:f>
        <x:v>0</x:v>
      </x:c>
    </x:row>
    <x:row r="73" ht="20" customHeight="1">
      <x:c r="A73" s="22"/>
      <x:c r="B73" s="22"/>
      <x:c r="C73" s="22"/>
      <x:c r="D73" s="28"/>
      <x:c r="E73" s="28"/>
      <x:c r="F73" s="22"/>
      <x:c r="G73" s="22"/>
      <x:c r="H73" s="36" t="n">
        <x:f>IF(A73="",0,IF(F73="active",1,IF(F73="inactive",2,0)))</x:f>
        <x:v>0</x:v>
      </x:c>
      <x:c r="I73" s="36" t="n">
        <x:f>IF(A73="",0,IF(AND(D73&lt;='01_설정'!$B$6,E73&lt;='01_설정'!$B$7),1,0))</x:f>
        <x:v>0</x:v>
      </x:c>
      <x:c r="J73" s="36" t="n">
        <x:f>IF(A73="",0,D73*100000+C73)</x:f>
        <x:v>0</x:v>
      </x:c>
    </x:row>
    <x:row r="74" ht="20" customHeight="1">
      <x:c r="A74" s="22"/>
      <x:c r="B74" s="22"/>
      <x:c r="C74" s="22"/>
      <x:c r="D74" s="28"/>
      <x:c r="E74" s="28"/>
      <x:c r="F74" s="22"/>
      <x:c r="G74" s="22"/>
      <x:c r="H74" s="36" t="n">
        <x:f>IF(A74="",0,IF(F74="active",1,IF(F74="inactive",2,0)))</x:f>
        <x:v>0</x:v>
      </x:c>
      <x:c r="I74" s="36" t="n">
        <x:f>IF(A74="",0,IF(AND(D74&lt;='01_설정'!$B$6,E74&lt;='01_설정'!$B$7),1,0))</x:f>
        <x:v>0</x:v>
      </x:c>
      <x:c r="J74" s="36" t="n">
        <x:f>IF(A74="",0,D74*100000+C74)</x:f>
        <x:v>0</x:v>
      </x:c>
    </x:row>
    <x:row r="75" ht="20" customHeight="1">
      <x:c r="A75" s="22"/>
      <x:c r="B75" s="22"/>
      <x:c r="C75" s="22"/>
      <x:c r="D75" s="28"/>
      <x:c r="E75" s="28"/>
      <x:c r="F75" s="22"/>
      <x:c r="G75" s="22"/>
      <x:c r="H75" s="36" t="n">
        <x:f>IF(A75="",0,IF(F75="active",1,IF(F75="inactive",2,0)))</x:f>
        <x:v>0</x:v>
      </x:c>
      <x:c r="I75" s="36" t="n">
        <x:f>IF(A75="",0,IF(AND(D75&lt;='01_설정'!$B$6,E75&lt;='01_설정'!$B$7),1,0))</x:f>
        <x:v>0</x:v>
      </x:c>
      <x:c r="J75" s="36" t="n">
        <x:f>IF(A75="",0,D75*100000+C75)</x:f>
        <x:v>0</x:v>
      </x:c>
    </x:row>
    <x:row r="76" ht="20" customHeight="1">
      <x:c r="A76" s="22"/>
      <x:c r="B76" s="22"/>
      <x:c r="C76" s="22"/>
      <x:c r="D76" s="28"/>
      <x:c r="E76" s="28"/>
      <x:c r="F76" s="22"/>
      <x:c r="G76" s="22"/>
      <x:c r="H76" s="36" t="n">
        <x:f>IF(A76="",0,IF(F76="active",1,IF(F76="inactive",2,0)))</x:f>
        <x:v>0</x:v>
      </x:c>
      <x:c r="I76" s="36" t="n">
        <x:f>IF(A76="",0,IF(AND(D76&lt;='01_설정'!$B$6,E76&lt;='01_설정'!$B$7),1,0))</x:f>
        <x:v>0</x:v>
      </x:c>
      <x:c r="J76" s="36" t="n">
        <x:f>IF(A76="",0,D76*100000+C76)</x:f>
        <x:v>0</x:v>
      </x:c>
    </x:row>
    <x:row r="77" ht="20" customHeight="1">
      <x:c r="A77" s="22"/>
      <x:c r="B77" s="22"/>
      <x:c r="C77" s="22"/>
      <x:c r="D77" s="28"/>
      <x:c r="E77" s="28"/>
      <x:c r="F77" s="22"/>
      <x:c r="G77" s="22"/>
      <x:c r="H77" s="36" t="n">
        <x:f>IF(A77="",0,IF(F77="active",1,IF(F77="inactive",2,0)))</x:f>
        <x:v>0</x:v>
      </x:c>
      <x:c r="I77" s="36" t="n">
        <x:f>IF(A77="",0,IF(AND(D77&lt;='01_설정'!$B$6,E77&lt;='01_설정'!$B$7),1,0))</x:f>
        <x:v>0</x:v>
      </x:c>
      <x:c r="J77" s="36" t="n">
        <x:f>IF(A77="",0,D77*100000+C77)</x:f>
        <x:v>0</x:v>
      </x:c>
    </x:row>
    <x:row r="78" ht="20" customHeight="1">
      <x:c r="A78" s="22"/>
      <x:c r="B78" s="22"/>
      <x:c r="C78" s="22"/>
      <x:c r="D78" s="28"/>
      <x:c r="E78" s="28"/>
      <x:c r="F78" s="22"/>
      <x:c r="G78" s="22"/>
      <x:c r="H78" s="36" t="n">
        <x:f>IF(A78="",0,IF(F78="active",1,IF(F78="inactive",2,0)))</x:f>
        <x:v>0</x:v>
      </x:c>
      <x:c r="I78" s="36" t="n">
        <x:f>IF(A78="",0,IF(AND(D78&lt;='01_설정'!$B$6,E78&lt;='01_설정'!$B$7),1,0))</x:f>
        <x:v>0</x:v>
      </x:c>
      <x:c r="J78" s="36" t="n">
        <x:f>IF(A78="",0,D78*100000+C78)</x:f>
        <x:v>0</x:v>
      </x:c>
    </x:row>
    <x:row r="79" ht="20" customHeight="1">
      <x:c r="A79" s="22"/>
      <x:c r="B79" s="22"/>
      <x:c r="C79" s="22"/>
      <x:c r="D79" s="28"/>
      <x:c r="E79" s="28"/>
      <x:c r="F79" s="22"/>
      <x:c r="G79" s="22"/>
      <x:c r="H79" s="36" t="n">
        <x:f>IF(A79="",0,IF(F79="active",1,IF(F79="inactive",2,0)))</x:f>
        <x:v>0</x:v>
      </x:c>
      <x:c r="I79" s="36" t="n">
        <x:f>IF(A79="",0,IF(AND(D79&lt;='01_설정'!$B$6,E79&lt;='01_설정'!$B$7),1,0))</x:f>
        <x:v>0</x:v>
      </x:c>
      <x:c r="J79" s="36" t="n">
        <x:f>IF(A79="",0,D79*100000+C79)</x:f>
        <x:v>0</x:v>
      </x:c>
    </x:row>
    <x:row r="80" ht="20" customHeight="1">
      <x:c r="A80" s="22"/>
      <x:c r="B80" s="22"/>
      <x:c r="C80" s="22"/>
      <x:c r="D80" s="28"/>
      <x:c r="E80" s="28"/>
      <x:c r="F80" s="22"/>
      <x:c r="G80" s="22"/>
      <x:c r="H80" s="36" t="n">
        <x:f>IF(A80="",0,IF(F80="active",1,IF(F80="inactive",2,0)))</x:f>
        <x:v>0</x:v>
      </x:c>
      <x:c r="I80" s="36" t="n">
        <x:f>IF(A80="",0,IF(AND(D80&lt;='01_설정'!$B$6,E80&lt;='01_설정'!$B$7),1,0))</x:f>
        <x:v>0</x:v>
      </x:c>
      <x:c r="J80" s="36" t="n">
        <x:f>IF(A80="",0,D80*100000+C80)</x:f>
        <x:v>0</x:v>
      </x:c>
    </x:row>
    <x:row r="81" ht="20" customHeight="1">
      <x:c r="A81" s="22"/>
      <x:c r="B81" s="22"/>
      <x:c r="C81" s="22"/>
      <x:c r="D81" s="28"/>
      <x:c r="E81" s="28"/>
      <x:c r="F81" s="22"/>
      <x:c r="G81" s="22"/>
      <x:c r="H81" s="36" t="n">
        <x:f>IF(A81="",0,IF(F81="active",1,IF(F81="inactive",2,0)))</x:f>
        <x:v>0</x:v>
      </x:c>
      <x:c r="I81" s="36" t="n">
        <x:f>IF(A81="",0,IF(AND(D81&lt;='01_설정'!$B$6,E81&lt;='01_설정'!$B$7),1,0))</x:f>
        <x:v>0</x:v>
      </x:c>
      <x:c r="J81" s="36" t="n">
        <x:f>IF(A81="",0,D81*100000+C81)</x:f>
        <x:v>0</x:v>
      </x:c>
    </x:row>
    <x:row r="82" ht="20" customHeight="1">
      <x:c r="A82" s="22"/>
      <x:c r="B82" s="22"/>
      <x:c r="C82" s="22"/>
      <x:c r="D82" s="28"/>
      <x:c r="E82" s="28"/>
      <x:c r="F82" s="22"/>
      <x:c r="G82" s="22"/>
      <x:c r="H82" s="36" t="n">
        <x:f>IF(A82="",0,IF(F82="active",1,IF(F82="inactive",2,0)))</x:f>
        <x:v>0</x:v>
      </x:c>
      <x:c r="I82" s="36" t="n">
        <x:f>IF(A82="",0,IF(AND(D82&lt;='01_설정'!$B$6,E82&lt;='01_설정'!$B$7),1,0))</x:f>
        <x:v>0</x:v>
      </x:c>
      <x:c r="J82" s="36" t="n">
        <x:f>IF(A82="",0,D82*100000+C82)</x:f>
        <x:v>0</x:v>
      </x:c>
    </x:row>
    <x:row r="83" ht="20" customHeight="1">
      <x:c r="A83" s="22"/>
      <x:c r="B83" s="22"/>
      <x:c r="C83" s="22"/>
      <x:c r="D83" s="28"/>
      <x:c r="E83" s="28"/>
      <x:c r="F83" s="22"/>
      <x:c r="G83" s="22"/>
      <x:c r="H83" s="36" t="n">
        <x:f>IF(A83="",0,IF(F83="active",1,IF(F83="inactive",2,0)))</x:f>
        <x:v>0</x:v>
      </x:c>
      <x:c r="I83" s="36" t="n">
        <x:f>IF(A83="",0,IF(AND(D83&lt;='01_설정'!$B$6,E83&lt;='01_설정'!$B$7),1,0))</x:f>
        <x:v>0</x:v>
      </x:c>
      <x:c r="J83" s="36" t="n">
        <x:f>IF(A83="",0,D83*100000+C83)</x:f>
        <x:v>0</x:v>
      </x:c>
    </x:row>
    <x:row r="84" ht="20" customHeight="1">
      <x:c r="A84" s="22"/>
      <x:c r="B84" s="22"/>
      <x:c r="C84" s="22"/>
      <x:c r="D84" s="28"/>
      <x:c r="E84" s="28"/>
      <x:c r="F84" s="22"/>
      <x:c r="G84" s="22"/>
      <x:c r="H84" s="36" t="n">
        <x:f>IF(A84="",0,IF(F84="active",1,IF(F84="inactive",2,0)))</x:f>
        <x:v>0</x:v>
      </x:c>
      <x:c r="I84" s="36" t="n">
        <x:f>IF(A84="",0,IF(AND(D84&lt;='01_설정'!$B$6,E84&lt;='01_설정'!$B$7),1,0))</x:f>
        <x:v>0</x:v>
      </x:c>
      <x:c r="J84" s="36" t="n">
        <x:f>IF(A84="",0,D84*100000+C84)</x:f>
        <x:v>0</x:v>
      </x:c>
    </x:row>
    <x:row r="85" ht="20" customHeight="1">
      <x:c r="A85" s="22"/>
      <x:c r="B85" s="22"/>
      <x:c r="C85" s="22"/>
      <x:c r="D85" s="28"/>
      <x:c r="E85" s="28"/>
      <x:c r="F85" s="22"/>
      <x:c r="G85" s="22"/>
      <x:c r="H85" s="36" t="n">
        <x:f>IF(A85="",0,IF(F85="active",1,IF(F85="inactive",2,0)))</x:f>
        <x:v>0</x:v>
      </x:c>
      <x:c r="I85" s="36" t="n">
        <x:f>IF(A85="",0,IF(AND(D85&lt;='01_설정'!$B$6,E85&lt;='01_설정'!$B$7),1,0))</x:f>
        <x:v>0</x:v>
      </x:c>
      <x:c r="J85" s="36" t="n">
        <x:f>IF(A85="",0,D85*100000+C85)</x:f>
        <x:v>0</x:v>
      </x:c>
    </x:row>
    <x:row r="86" ht="20" customHeight="1">
      <x:c r="A86" s="22"/>
      <x:c r="B86" s="22"/>
      <x:c r="C86" s="22"/>
      <x:c r="D86" s="28"/>
      <x:c r="E86" s="28"/>
      <x:c r="F86" s="22"/>
      <x:c r="G86" s="22"/>
      <x:c r="H86" s="36" t="n">
        <x:f>IF(A86="",0,IF(F86="active",1,IF(F86="inactive",2,0)))</x:f>
        <x:v>0</x:v>
      </x:c>
      <x:c r="I86" s="36" t="n">
        <x:f>IF(A86="",0,IF(AND(D86&lt;='01_설정'!$B$6,E86&lt;='01_설정'!$B$7),1,0))</x:f>
        <x:v>0</x:v>
      </x:c>
      <x:c r="J86" s="36" t="n">
        <x:f>IF(A86="",0,D86*100000+C86)</x:f>
        <x:v>0</x:v>
      </x:c>
    </x:row>
    <x:row r="87" ht="20" customHeight="1">
      <x:c r="A87" s="22"/>
      <x:c r="B87" s="22"/>
      <x:c r="C87" s="22"/>
      <x:c r="D87" s="28"/>
      <x:c r="E87" s="28"/>
      <x:c r="F87" s="22"/>
      <x:c r="G87" s="22"/>
      <x:c r="H87" s="36" t="n">
        <x:f>IF(A87="",0,IF(F87="active",1,IF(F87="inactive",2,0)))</x:f>
        <x:v>0</x:v>
      </x:c>
      <x:c r="I87" s="36" t="n">
        <x:f>IF(A87="",0,IF(AND(D87&lt;='01_설정'!$B$6,E87&lt;='01_설정'!$B$7),1,0))</x:f>
        <x:v>0</x:v>
      </x:c>
      <x:c r="J87" s="36" t="n">
        <x:f>IF(A87="",0,D87*100000+C87)</x:f>
        <x:v>0</x:v>
      </x:c>
    </x:row>
    <x:row r="88" ht="20" customHeight="1">
      <x:c r="A88" s="22"/>
      <x:c r="B88" s="22"/>
      <x:c r="C88" s="22"/>
      <x:c r="D88" s="28"/>
      <x:c r="E88" s="28"/>
      <x:c r="F88" s="22"/>
      <x:c r="G88" s="22"/>
      <x:c r="H88" s="36" t="n">
        <x:f>IF(A88="",0,IF(F88="active",1,IF(F88="inactive",2,0)))</x:f>
        <x:v>0</x:v>
      </x:c>
      <x:c r="I88" s="36" t="n">
        <x:f>IF(A88="",0,IF(AND(D88&lt;='01_설정'!$B$6,E88&lt;='01_설정'!$B$7),1,0))</x:f>
        <x:v>0</x:v>
      </x:c>
      <x:c r="J88" s="36" t="n">
        <x:f>IF(A88="",0,D88*100000+C88)</x:f>
        <x:v>0</x:v>
      </x:c>
    </x:row>
    <x:row r="89" ht="20" customHeight="1">
      <x:c r="A89" s="22"/>
      <x:c r="B89" s="22"/>
      <x:c r="C89" s="22"/>
      <x:c r="D89" s="28"/>
      <x:c r="E89" s="28"/>
      <x:c r="F89" s="22"/>
      <x:c r="G89" s="22"/>
      <x:c r="H89" s="36" t="n">
        <x:f>IF(A89="",0,IF(F89="active",1,IF(F89="inactive",2,0)))</x:f>
        <x:v>0</x:v>
      </x:c>
      <x:c r="I89" s="36" t="n">
        <x:f>IF(A89="",0,IF(AND(D89&lt;='01_설정'!$B$6,E89&lt;='01_설정'!$B$7),1,0))</x:f>
        <x:v>0</x:v>
      </x:c>
      <x:c r="J89" s="36" t="n">
        <x:f>IF(A89="",0,D89*100000+C89)</x:f>
        <x:v>0</x:v>
      </x:c>
    </x:row>
    <x:row r="90" ht="20" customHeight="1">
      <x:c r="A90" s="22"/>
      <x:c r="B90" s="22"/>
      <x:c r="C90" s="22"/>
      <x:c r="D90" s="28"/>
      <x:c r="E90" s="28"/>
      <x:c r="F90" s="22"/>
      <x:c r="G90" s="22"/>
      <x:c r="H90" s="36" t="n">
        <x:f>IF(A90="",0,IF(F90="active",1,IF(F90="inactive",2,0)))</x:f>
        <x:v>0</x:v>
      </x:c>
      <x:c r="I90" s="36" t="n">
        <x:f>IF(A90="",0,IF(AND(D90&lt;='01_설정'!$B$6,E90&lt;='01_설정'!$B$7),1,0))</x:f>
        <x:v>0</x:v>
      </x:c>
      <x:c r="J90" s="36" t="n">
        <x:f>IF(A90="",0,D90*100000+C90)</x:f>
        <x:v>0</x:v>
      </x:c>
    </x:row>
    <x:row r="91" ht="20" customHeight="1">
      <x:c r="A91" s="22"/>
      <x:c r="B91" s="22"/>
      <x:c r="C91" s="22"/>
      <x:c r="D91" s="28"/>
      <x:c r="E91" s="28"/>
      <x:c r="F91" s="22"/>
      <x:c r="G91" s="22"/>
      <x:c r="H91" s="36" t="n">
        <x:f>IF(A91="",0,IF(F91="active",1,IF(F91="inactive",2,0)))</x:f>
        <x:v>0</x:v>
      </x:c>
      <x:c r="I91" s="36" t="n">
        <x:f>IF(A91="",0,IF(AND(D91&lt;='01_설정'!$B$6,E91&lt;='01_설정'!$B$7),1,0))</x:f>
        <x:v>0</x:v>
      </x:c>
      <x:c r="J91" s="36" t="n">
        <x:f>IF(A91="",0,D91*100000+C91)</x:f>
        <x:v>0</x:v>
      </x:c>
    </x:row>
    <x:row r="92" ht="20" customHeight="1">
      <x:c r="A92" s="22"/>
      <x:c r="B92" s="22"/>
      <x:c r="C92" s="22"/>
      <x:c r="D92" s="28"/>
      <x:c r="E92" s="28"/>
      <x:c r="F92" s="22"/>
      <x:c r="G92" s="22"/>
      <x:c r="H92" s="36" t="n">
        <x:f>IF(A92="",0,IF(F92="active",1,IF(F92="inactive",2,0)))</x:f>
        <x:v>0</x:v>
      </x:c>
      <x:c r="I92" s="36" t="n">
        <x:f>IF(A92="",0,IF(AND(D92&lt;='01_설정'!$B$6,E92&lt;='01_설정'!$B$7),1,0))</x:f>
        <x:v>0</x:v>
      </x:c>
      <x:c r="J92" s="36" t="n">
        <x:f>IF(A92="",0,D92*100000+C92)</x:f>
        <x:v>0</x:v>
      </x:c>
    </x:row>
    <x:row r="93" ht="20" customHeight="1">
      <x:c r="A93" s="22"/>
      <x:c r="B93" s="22"/>
      <x:c r="C93" s="22"/>
      <x:c r="D93" s="28"/>
      <x:c r="E93" s="28"/>
      <x:c r="F93" s="22"/>
      <x:c r="G93" s="22"/>
      <x:c r="H93" s="36" t="n">
        <x:f>IF(A93="",0,IF(F93="active",1,IF(F93="inactive",2,0)))</x:f>
        <x:v>0</x:v>
      </x:c>
      <x:c r="I93" s="36" t="n">
        <x:f>IF(A93="",0,IF(AND(D93&lt;='01_설정'!$B$6,E93&lt;='01_설정'!$B$7),1,0))</x:f>
        <x:v>0</x:v>
      </x:c>
      <x:c r="J93" s="36" t="n">
        <x:f>IF(A93="",0,D93*100000+C93)</x:f>
        <x:v>0</x:v>
      </x:c>
    </x:row>
    <x:row r="94" ht="20" customHeight="1">
      <x:c r="A94" s="22"/>
      <x:c r="B94" s="22"/>
      <x:c r="C94" s="22"/>
      <x:c r="D94" s="28"/>
      <x:c r="E94" s="28"/>
      <x:c r="F94" s="22"/>
      <x:c r="G94" s="22"/>
      <x:c r="H94" s="36" t="n">
        <x:f>IF(A94="",0,IF(F94="active",1,IF(F94="inactive",2,0)))</x:f>
        <x:v>0</x:v>
      </x:c>
      <x:c r="I94" s="36" t="n">
        <x:f>IF(A94="",0,IF(AND(D94&lt;='01_설정'!$B$6,E94&lt;='01_설정'!$B$7),1,0))</x:f>
        <x:v>0</x:v>
      </x:c>
      <x:c r="J94" s="36" t="n">
        <x:f>IF(A94="",0,D94*100000+C94)</x:f>
        <x:v>0</x:v>
      </x:c>
    </x:row>
    <x:row r="95" ht="20" customHeight="1">
      <x:c r="A95" s="22"/>
      <x:c r="B95" s="22"/>
      <x:c r="C95" s="22"/>
      <x:c r="D95" s="28"/>
      <x:c r="E95" s="28"/>
      <x:c r="F95" s="22"/>
      <x:c r="G95" s="22"/>
      <x:c r="H95" s="36" t="n">
        <x:f>IF(A95="",0,IF(F95="active",1,IF(F95="inactive",2,0)))</x:f>
        <x:v>0</x:v>
      </x:c>
      <x:c r="I95" s="36" t="n">
        <x:f>IF(A95="",0,IF(AND(D95&lt;='01_설정'!$B$6,E95&lt;='01_설정'!$B$7),1,0))</x:f>
        <x:v>0</x:v>
      </x:c>
      <x:c r="J95" s="36" t="n">
        <x:f>IF(A95="",0,D95*100000+C95)</x:f>
        <x:v>0</x:v>
      </x:c>
    </x:row>
    <x:row r="96" ht="20" customHeight="1">
      <x:c r="A96" s="22"/>
      <x:c r="B96" s="22"/>
      <x:c r="C96" s="22"/>
      <x:c r="D96" s="28"/>
      <x:c r="E96" s="28"/>
      <x:c r="F96" s="22"/>
      <x:c r="G96" s="22"/>
      <x:c r="H96" s="36" t="n">
        <x:f>IF(A96="",0,IF(F96="active",1,IF(F96="inactive",2,0)))</x:f>
        <x:v>0</x:v>
      </x:c>
      <x:c r="I96" s="36" t="n">
        <x:f>IF(A96="",0,IF(AND(D96&lt;='01_설정'!$B$6,E96&lt;='01_설정'!$B$7),1,0))</x:f>
        <x:v>0</x:v>
      </x:c>
      <x:c r="J96" s="36" t="n">
        <x:f>IF(A96="",0,D96*100000+C96)</x:f>
        <x:v>0</x:v>
      </x:c>
    </x:row>
    <x:row r="97" ht="20" customHeight="1">
      <x:c r="A97" s="22"/>
      <x:c r="B97" s="22"/>
      <x:c r="C97" s="22"/>
      <x:c r="D97" s="28"/>
      <x:c r="E97" s="28"/>
      <x:c r="F97" s="22"/>
      <x:c r="G97" s="22"/>
      <x:c r="H97" s="36" t="n">
        <x:f>IF(A97="",0,IF(F97="active",1,IF(F97="inactive",2,0)))</x:f>
        <x:v>0</x:v>
      </x:c>
      <x:c r="I97" s="36" t="n">
        <x:f>IF(A97="",0,IF(AND(D97&lt;='01_설정'!$B$6,E97&lt;='01_설정'!$B$7),1,0))</x:f>
        <x:v>0</x:v>
      </x:c>
      <x:c r="J97" s="36" t="n">
        <x:f>IF(A97="",0,D97*100000+C97)</x:f>
        <x:v>0</x:v>
      </x:c>
    </x:row>
    <x:row r="98" ht="20" customHeight="1">
      <x:c r="A98" s="22"/>
      <x:c r="B98" s="22"/>
      <x:c r="C98" s="22"/>
      <x:c r="D98" s="28"/>
      <x:c r="E98" s="28"/>
      <x:c r="F98" s="22"/>
      <x:c r="G98" s="22"/>
      <x:c r="H98" s="36" t="n">
        <x:f>IF(A98="",0,IF(F98="active",1,IF(F98="inactive",2,0)))</x:f>
        <x:v>0</x:v>
      </x:c>
      <x:c r="I98" s="36" t="n">
        <x:f>IF(A98="",0,IF(AND(D98&lt;='01_설정'!$B$6,E98&lt;='01_설정'!$B$7),1,0))</x:f>
        <x:v>0</x:v>
      </x:c>
      <x:c r="J98" s="36" t="n">
        <x:f>IF(A98="",0,D98*100000+C98)</x:f>
        <x:v>0</x:v>
      </x:c>
    </x:row>
    <x:row r="99" ht="20" customHeight="1">
      <x:c r="A99" s="22"/>
      <x:c r="B99" s="22"/>
      <x:c r="C99" s="22"/>
      <x:c r="D99" s="28"/>
      <x:c r="E99" s="28"/>
      <x:c r="F99" s="22"/>
      <x:c r="G99" s="22"/>
      <x:c r="H99" s="36" t="n">
        <x:f>IF(A99="",0,IF(F99="active",1,IF(F99="inactive",2,0)))</x:f>
        <x:v>0</x:v>
      </x:c>
      <x:c r="I99" s="36" t="n">
        <x:f>IF(A99="",0,IF(AND(D99&lt;='01_설정'!$B$6,E99&lt;='01_설정'!$B$7),1,0))</x:f>
        <x:v>0</x:v>
      </x:c>
      <x:c r="J99" s="36" t="n">
        <x:f>IF(A99="",0,D99*100000+C99)</x:f>
        <x:v>0</x:v>
      </x:c>
    </x:row>
    <x:row r="100" ht="20" customHeight="1">
      <x:c r="A100" s="22"/>
      <x:c r="B100" s="22"/>
      <x:c r="C100" s="22"/>
      <x:c r="D100" s="28"/>
      <x:c r="E100" s="28"/>
      <x:c r="F100" s="22"/>
      <x:c r="G100" s="22"/>
      <x:c r="H100" s="36" t="n">
        <x:f>IF(A100="",0,IF(F100="active",1,IF(F100="inactive",2,0)))</x:f>
        <x:v>0</x:v>
      </x:c>
      <x:c r="I100" s="36" t="n">
        <x:f>IF(A100="",0,IF(AND(D100&lt;='01_설정'!$B$6,E100&lt;='01_설정'!$B$7),1,0))</x:f>
        <x:v>0</x:v>
      </x:c>
      <x:c r="J100" s="36" t="n">
        <x:f>IF(A100="",0,D100*100000+C100)</x:f>
        <x:v>0</x:v>
      </x:c>
    </x:row>
    <x:row r="101" ht="20" customHeight="1">
      <x:c r="A101" s="22"/>
      <x:c r="B101" s="22"/>
      <x:c r="C101" s="22"/>
      <x:c r="D101" s="28"/>
      <x:c r="E101" s="28"/>
      <x:c r="F101" s="22"/>
      <x:c r="G101" s="22"/>
      <x:c r="H101" s="36" t="n">
        <x:f>IF(A101="",0,IF(F101="active",1,IF(F101="inactive",2,0)))</x:f>
        <x:v>0</x:v>
      </x:c>
      <x:c r="I101" s="36" t="n">
        <x:f>IF(A101="",0,IF(AND(D101&lt;='01_설정'!$B$6,E101&lt;='01_설정'!$B$7),1,0))</x:f>
        <x:v>0</x:v>
      </x:c>
      <x:c r="J101" s="36" t="n">
        <x:f>IF(A101="",0,D101*100000+C101)</x:f>
        <x:v>0</x:v>
      </x:c>
    </x:row>
    <x:row r="102" ht="20" customHeight="1">
      <x:c r="A102" s="22"/>
      <x:c r="B102" s="22"/>
      <x:c r="C102" s="22"/>
      <x:c r="D102" s="28"/>
      <x:c r="E102" s="28"/>
      <x:c r="F102" s="22"/>
      <x:c r="G102" s="22"/>
      <x:c r="H102" s="36" t="n">
        <x:f>IF(A102="",0,IF(F102="active",1,IF(F102="inactive",2,0)))</x:f>
        <x:v>0</x:v>
      </x:c>
      <x:c r="I102" s="36" t="n">
        <x:f>IF(A102="",0,IF(AND(D102&lt;='01_설정'!$B$6,E102&lt;='01_설정'!$B$7),1,0))</x:f>
        <x:v>0</x:v>
      </x:c>
      <x:c r="J102" s="36" t="n">
        <x:f>IF(A102="",0,D102*100000+C102)</x:f>
        <x:v>0</x:v>
      </x:c>
    </x:row>
    <x:row r="103" ht="20" customHeight="1">
      <x:c r="A103" s="22"/>
      <x:c r="B103" s="22"/>
      <x:c r="C103" s="22"/>
      <x:c r="D103" s="28"/>
      <x:c r="E103" s="28"/>
      <x:c r="F103" s="22"/>
      <x:c r="G103" s="22"/>
      <x:c r="H103" s="36" t="n">
        <x:f>IF(A103="",0,IF(F103="active",1,IF(F103="inactive",2,0)))</x:f>
        <x:v>0</x:v>
      </x:c>
      <x:c r="I103" s="36" t="n">
        <x:f>IF(A103="",0,IF(AND(D103&lt;='01_설정'!$B$6,E103&lt;='01_설정'!$B$7),1,0))</x:f>
        <x:v>0</x:v>
      </x:c>
      <x:c r="J103" s="36" t="n">
        <x:f>IF(A103="",0,D103*100000+C103)</x:f>
        <x:v>0</x:v>
      </x:c>
    </x:row>
    <x:row r="104" ht="20" customHeight="1">
      <x:c r="A104" s="22"/>
      <x:c r="B104" s="22"/>
      <x:c r="C104" s="22"/>
      <x:c r="D104" s="28"/>
      <x:c r="E104" s="28"/>
      <x:c r="F104" s="22"/>
      <x:c r="G104" s="22"/>
      <x:c r="H104" s="36" t="n">
        <x:f>IF(A104="",0,IF(F104="active",1,IF(F104="inactive",2,0)))</x:f>
        <x:v>0</x:v>
      </x:c>
      <x:c r="I104" s="36" t="n">
        <x:f>IF(A104="",0,IF(AND(D104&lt;='01_설정'!$B$6,E104&lt;='01_설정'!$B$7),1,0))</x:f>
        <x:v>0</x:v>
      </x:c>
      <x:c r="J104" s="36" t="n">
        <x:f>IF(A104="",0,D104*100000+C104)</x:f>
        <x:v>0</x:v>
      </x:c>
    </x:row>
    <x:row r="105" ht="20" customHeight="1">
      <x:c r="A105" s="22"/>
      <x:c r="B105" s="22"/>
      <x:c r="C105" s="22"/>
      <x:c r="D105" s="28"/>
      <x:c r="E105" s="28"/>
      <x:c r="F105" s="22"/>
      <x:c r="G105" s="22"/>
      <x:c r="H105" s="36" t="n">
        <x:f>IF(A105="",0,IF(F105="active",1,IF(F105="inactive",2,0)))</x:f>
        <x:v>0</x:v>
      </x:c>
      <x:c r="I105" s="36" t="n">
        <x:f>IF(A105="",0,IF(AND(D105&lt;='01_설정'!$B$6,E105&lt;='01_설정'!$B$7),1,0))</x:f>
        <x:v>0</x:v>
      </x:c>
      <x:c r="J105" s="36" t="n">
        <x:f>IF(A105="",0,D105*100000+C105)</x:f>
        <x:v>0</x:v>
      </x:c>
    </x:row>
    <x:row r="106" ht="20" customHeight="1">
      <x:c r="A106" s="22"/>
      <x:c r="B106" s="22"/>
      <x:c r="C106" s="22"/>
      <x:c r="D106" s="28"/>
      <x:c r="E106" s="28"/>
      <x:c r="F106" s="22"/>
      <x:c r="G106" s="22"/>
      <x:c r="H106" s="36" t="n">
        <x:f>IF(A106="",0,IF(F106="active",1,IF(F106="inactive",2,0)))</x:f>
        <x:v>0</x:v>
      </x:c>
      <x:c r="I106" s="36" t="n">
        <x:f>IF(A106="",0,IF(AND(D106&lt;='01_설정'!$B$6,E106&lt;='01_설정'!$B$7),1,0))</x:f>
        <x:v>0</x:v>
      </x:c>
      <x:c r="J106" s="36" t="n">
        <x:f>IF(A106="",0,D106*100000+C106)</x:f>
        <x:v>0</x:v>
      </x:c>
    </x:row>
    <x:row r="107" ht="20" customHeight="1">
      <x:c r="A107" s="22"/>
      <x:c r="B107" s="22"/>
      <x:c r="C107" s="22"/>
      <x:c r="D107" s="28"/>
      <x:c r="E107" s="28"/>
      <x:c r="F107" s="22"/>
      <x:c r="G107" s="22"/>
      <x:c r="H107" s="36" t="n">
        <x:f>IF(A107="",0,IF(F107="active",1,IF(F107="inactive",2,0)))</x:f>
        <x:v>0</x:v>
      </x:c>
      <x:c r="I107" s="36" t="n">
        <x:f>IF(A107="",0,IF(AND(D107&lt;='01_설정'!$B$6,E107&lt;='01_설정'!$B$7),1,0))</x:f>
        <x:v>0</x:v>
      </x:c>
      <x:c r="J107" s="36" t="n">
        <x:f>IF(A107="",0,D107*100000+C107)</x:f>
        <x:v>0</x:v>
      </x:c>
    </x:row>
    <x:row r="108" ht="20" customHeight="1">
      <x:c r="A108" s="22"/>
      <x:c r="B108" s="22"/>
      <x:c r="C108" s="22"/>
      <x:c r="D108" s="28"/>
      <x:c r="E108" s="28"/>
      <x:c r="F108" s="22"/>
      <x:c r="G108" s="22"/>
      <x:c r="H108" s="36" t="n">
        <x:f>IF(A108="",0,IF(F108="active",1,IF(F108="inactive",2,0)))</x:f>
        <x:v>0</x:v>
      </x:c>
      <x:c r="I108" s="36" t="n">
        <x:f>IF(A108="",0,IF(AND(D108&lt;='01_설정'!$B$6,E108&lt;='01_설정'!$B$7),1,0))</x:f>
        <x:v>0</x:v>
      </x:c>
      <x:c r="J108" s="36" t="n">
        <x:f>IF(A108="",0,D108*100000+C108)</x:f>
        <x:v>0</x:v>
      </x:c>
    </x:row>
    <x:row r="109" ht="20" customHeight="1">
      <x:c r="A109" s="22"/>
      <x:c r="B109" s="22"/>
      <x:c r="C109" s="22"/>
      <x:c r="D109" s="28"/>
      <x:c r="E109" s="28"/>
      <x:c r="F109" s="22"/>
      <x:c r="G109" s="22"/>
      <x:c r="H109" s="36" t="n">
        <x:f>IF(A109="",0,IF(F109="active",1,IF(F109="inactive",2,0)))</x:f>
        <x:v>0</x:v>
      </x:c>
      <x:c r="I109" s="36" t="n">
        <x:f>IF(A109="",0,IF(AND(D109&lt;='01_설정'!$B$6,E109&lt;='01_설정'!$B$7),1,0))</x:f>
        <x:v>0</x:v>
      </x:c>
      <x:c r="J109" s="36" t="n">
        <x:f>IF(A109="",0,D109*100000+C109)</x:f>
        <x:v>0</x:v>
      </x:c>
    </x:row>
    <x:row r="110" ht="20" customHeight="1">
      <x:c r="A110" s="22"/>
      <x:c r="B110" s="22"/>
      <x:c r="C110" s="22"/>
      <x:c r="D110" s="28"/>
      <x:c r="E110" s="28"/>
      <x:c r="F110" s="22"/>
      <x:c r="G110" s="22"/>
      <x:c r="H110" s="36" t="n">
        <x:f>IF(A110="",0,IF(F110="active",1,IF(F110="inactive",2,0)))</x:f>
        <x:v>0</x:v>
      </x:c>
      <x:c r="I110" s="36" t="n">
        <x:f>IF(A110="",0,IF(AND(D110&lt;='01_설정'!$B$6,E110&lt;='01_설정'!$B$7),1,0))</x:f>
        <x:v>0</x:v>
      </x:c>
      <x:c r="J110" s="36" t="n">
        <x:f>IF(A110="",0,D110*100000+C110)</x:f>
        <x:v>0</x:v>
      </x:c>
    </x:row>
    <x:row r="111" ht="20" customHeight="1">
      <x:c r="A111" s="22"/>
      <x:c r="B111" s="22"/>
      <x:c r="C111" s="22"/>
      <x:c r="D111" s="28"/>
      <x:c r="E111" s="28"/>
      <x:c r="F111" s="22"/>
      <x:c r="G111" s="22"/>
      <x:c r="H111" s="36" t="n">
        <x:f>IF(A111="",0,IF(F111="active",1,IF(F111="inactive",2,0)))</x:f>
        <x:v>0</x:v>
      </x:c>
      <x:c r="I111" s="36" t="n">
        <x:f>IF(A111="",0,IF(AND(D111&lt;='01_설정'!$B$6,E111&lt;='01_설정'!$B$7),1,0))</x:f>
        <x:v>0</x:v>
      </x:c>
      <x:c r="J111" s="36" t="n">
        <x:f>IF(A111="",0,D111*100000+C111)</x:f>
        <x:v>0</x:v>
      </x:c>
    </x:row>
    <x:row r="112" ht="20" customHeight="1">
      <x:c r="A112" s="22"/>
      <x:c r="B112" s="22"/>
      <x:c r="C112" s="22"/>
      <x:c r="D112" s="28"/>
      <x:c r="E112" s="28"/>
      <x:c r="F112" s="22"/>
      <x:c r="G112" s="22"/>
      <x:c r="H112" s="36" t="n">
        <x:f>IF(A112="",0,IF(F112="active",1,IF(F112="inactive",2,0)))</x:f>
        <x:v>0</x:v>
      </x:c>
      <x:c r="I112" s="36" t="n">
        <x:f>IF(A112="",0,IF(AND(D112&lt;='01_설정'!$B$6,E112&lt;='01_설정'!$B$7),1,0))</x:f>
        <x:v>0</x:v>
      </x:c>
      <x:c r="J112" s="36" t="n">
        <x:f>IF(A112="",0,D112*100000+C112)</x:f>
        <x:v>0</x:v>
      </x:c>
    </x:row>
    <x:row r="113" ht="20" customHeight="1">
      <x:c r="A113" s="22"/>
      <x:c r="B113" s="22"/>
      <x:c r="C113" s="22"/>
      <x:c r="D113" s="28"/>
      <x:c r="E113" s="28"/>
      <x:c r="F113" s="22"/>
      <x:c r="G113" s="22"/>
      <x:c r="H113" s="36" t="n">
        <x:f>IF(A113="",0,IF(F113="active",1,IF(F113="inactive",2,0)))</x:f>
        <x:v>0</x:v>
      </x:c>
      <x:c r="I113" s="36" t="n">
        <x:f>IF(A113="",0,IF(AND(D113&lt;='01_설정'!$B$6,E113&lt;='01_설정'!$B$7),1,0))</x:f>
        <x:v>0</x:v>
      </x:c>
      <x:c r="J113" s="36" t="n">
        <x:f>IF(A113="",0,D113*100000+C113)</x:f>
        <x:v>0</x:v>
      </x:c>
    </x:row>
    <x:row r="114" ht="20" customHeight="1">
      <x:c r="A114" s="22"/>
      <x:c r="B114" s="22"/>
      <x:c r="C114" s="22"/>
      <x:c r="D114" s="28"/>
      <x:c r="E114" s="28"/>
      <x:c r="F114" s="22"/>
      <x:c r="G114" s="22"/>
      <x:c r="H114" s="36" t="n">
        <x:f>IF(A114="",0,IF(F114="active",1,IF(F114="inactive",2,0)))</x:f>
        <x:v>0</x:v>
      </x:c>
      <x:c r="I114" s="36" t="n">
        <x:f>IF(A114="",0,IF(AND(D114&lt;='01_설정'!$B$6,E114&lt;='01_설정'!$B$7),1,0))</x:f>
        <x:v>0</x:v>
      </x:c>
      <x:c r="J114" s="36" t="n">
        <x:f>IF(A114="",0,D114*100000+C114)</x:f>
        <x:v>0</x:v>
      </x:c>
    </x:row>
    <x:row r="115" ht="20" customHeight="1">
      <x:c r="A115" s="22"/>
      <x:c r="B115" s="22"/>
      <x:c r="C115" s="22"/>
      <x:c r="D115" s="28"/>
      <x:c r="E115" s="28"/>
      <x:c r="F115" s="22"/>
      <x:c r="G115" s="22"/>
      <x:c r="H115" s="36" t="n">
        <x:f>IF(A115="",0,IF(F115="active",1,IF(F115="inactive",2,0)))</x:f>
        <x:v>0</x:v>
      </x:c>
      <x:c r="I115" s="36" t="n">
        <x:f>IF(A115="",0,IF(AND(D115&lt;='01_설정'!$B$6,E115&lt;='01_설정'!$B$7),1,0))</x:f>
        <x:v>0</x:v>
      </x:c>
      <x:c r="J115" s="36" t="n">
        <x:f>IF(A115="",0,D115*100000+C115)</x:f>
        <x:v>0</x:v>
      </x:c>
    </x:row>
    <x:row r="116" ht="20" customHeight="1">
      <x:c r="A116" s="22"/>
      <x:c r="B116" s="22"/>
      <x:c r="C116" s="22"/>
      <x:c r="D116" s="28"/>
      <x:c r="E116" s="28"/>
      <x:c r="F116" s="22"/>
      <x:c r="G116" s="22"/>
      <x:c r="H116" s="36" t="n">
        <x:f>IF(A116="",0,IF(F116="active",1,IF(F116="inactive",2,0)))</x:f>
        <x:v>0</x:v>
      </x:c>
      <x:c r="I116" s="36" t="n">
        <x:f>IF(A116="",0,IF(AND(D116&lt;='01_설정'!$B$6,E116&lt;='01_설정'!$B$7),1,0))</x:f>
        <x:v>0</x:v>
      </x:c>
      <x:c r="J116" s="36" t="n">
        <x:f>IF(A116="",0,D116*100000+C116)</x:f>
        <x:v>0</x:v>
      </x:c>
    </x:row>
    <x:row r="117" ht="20" customHeight="1">
      <x:c r="A117" s="22"/>
      <x:c r="B117" s="22"/>
      <x:c r="C117" s="22"/>
      <x:c r="D117" s="28"/>
      <x:c r="E117" s="28"/>
      <x:c r="F117" s="22"/>
      <x:c r="G117" s="22"/>
      <x:c r="H117" s="36" t="n">
        <x:f>IF(A117="",0,IF(F117="active",1,IF(F117="inactive",2,0)))</x:f>
        <x:v>0</x:v>
      </x:c>
      <x:c r="I117" s="36" t="n">
        <x:f>IF(A117="",0,IF(AND(D117&lt;='01_설정'!$B$6,E117&lt;='01_설정'!$B$7),1,0))</x:f>
        <x:v>0</x:v>
      </x:c>
      <x:c r="J117" s="36" t="n">
        <x:f>IF(A117="",0,D117*100000+C117)</x:f>
        <x:v>0</x:v>
      </x:c>
    </x:row>
    <x:row r="118" ht="20" customHeight="1">
      <x:c r="A118" s="22"/>
      <x:c r="B118" s="22"/>
      <x:c r="C118" s="22"/>
      <x:c r="D118" s="28"/>
      <x:c r="E118" s="28"/>
      <x:c r="F118" s="22"/>
      <x:c r="G118" s="22"/>
      <x:c r="H118" s="36" t="n">
        <x:f>IF(A118="",0,IF(F118="active",1,IF(F118="inactive",2,0)))</x:f>
        <x:v>0</x:v>
      </x:c>
      <x:c r="I118" s="36" t="n">
        <x:f>IF(A118="",0,IF(AND(D118&lt;='01_설정'!$B$6,E118&lt;='01_설정'!$B$7),1,0))</x:f>
        <x:v>0</x:v>
      </x:c>
      <x:c r="J118" s="36" t="n">
        <x:f>IF(A118="",0,D118*100000+C118)</x:f>
        <x:v>0</x:v>
      </x:c>
    </x:row>
    <x:row r="119" ht="20" customHeight="1">
      <x:c r="A119" s="22"/>
      <x:c r="B119" s="22"/>
      <x:c r="C119" s="22"/>
      <x:c r="D119" s="28"/>
      <x:c r="E119" s="28"/>
      <x:c r="F119" s="22"/>
      <x:c r="G119" s="22"/>
      <x:c r="H119" s="36" t="n">
        <x:f>IF(A119="",0,IF(F119="active",1,IF(F119="inactive",2,0)))</x:f>
        <x:v>0</x:v>
      </x:c>
      <x:c r="I119" s="36" t="n">
        <x:f>IF(A119="",0,IF(AND(D119&lt;='01_설정'!$B$6,E119&lt;='01_설정'!$B$7),1,0))</x:f>
        <x:v>0</x:v>
      </x:c>
      <x:c r="J119" s="36" t="n">
        <x:f>IF(A119="",0,D119*100000+C119)</x:f>
        <x:v>0</x:v>
      </x:c>
    </x:row>
    <x:row r="120" ht="20" customHeight="1">
      <x:c r="A120" s="22"/>
      <x:c r="B120" s="22"/>
      <x:c r="C120" s="22"/>
      <x:c r="D120" s="28"/>
      <x:c r="E120" s="28"/>
      <x:c r="F120" s="22"/>
      <x:c r="G120" s="22"/>
      <x:c r="H120" s="36" t="n">
        <x:f>IF(A120="",0,IF(F120="active",1,IF(F120="inactive",2,0)))</x:f>
        <x:v>0</x:v>
      </x:c>
      <x:c r="I120" s="36" t="n">
        <x:f>IF(A120="",0,IF(AND(D120&lt;='01_설정'!$B$6,E120&lt;='01_설정'!$B$7),1,0))</x:f>
        <x:v>0</x:v>
      </x:c>
      <x:c r="J120" s="36" t="n">
        <x:f>IF(A120="",0,D120*100000+C120)</x:f>
        <x:v>0</x:v>
      </x:c>
    </x:row>
    <x:row r="121" ht="20" customHeight="1">
      <x:c r="A121" s="22"/>
      <x:c r="B121" s="22"/>
      <x:c r="C121" s="22"/>
      <x:c r="D121" s="28"/>
      <x:c r="E121" s="28"/>
      <x:c r="F121" s="22"/>
      <x:c r="G121" s="22"/>
      <x:c r="H121" s="36" t="n">
        <x:f>IF(A121="",0,IF(F121="active",1,IF(F121="inactive",2,0)))</x:f>
        <x:v>0</x:v>
      </x:c>
      <x:c r="I121" s="36" t="n">
        <x:f>IF(A121="",0,IF(AND(D121&lt;='01_설정'!$B$6,E121&lt;='01_설정'!$B$7),1,0))</x:f>
        <x:v>0</x:v>
      </x:c>
      <x:c r="J121" s="36" t="n">
        <x:f>IF(A121="",0,D121*100000+C121)</x:f>
        <x:v>0</x:v>
      </x:c>
    </x:row>
    <x:row r="122" ht="20" customHeight="1">
      <x:c r="A122" s="22"/>
      <x:c r="B122" s="22"/>
      <x:c r="C122" s="22"/>
      <x:c r="D122" s="28"/>
      <x:c r="E122" s="28"/>
      <x:c r="F122" s="22"/>
      <x:c r="G122" s="22"/>
      <x:c r="H122" s="36" t="n">
        <x:f>IF(A122="",0,IF(F122="active",1,IF(F122="inactive",2,0)))</x:f>
        <x:v>0</x:v>
      </x:c>
      <x:c r="I122" s="36" t="n">
        <x:f>IF(A122="",0,IF(AND(D122&lt;='01_설정'!$B$6,E122&lt;='01_설정'!$B$7),1,0))</x:f>
        <x:v>0</x:v>
      </x:c>
      <x:c r="J122" s="36" t="n">
        <x:f>IF(A122="",0,D122*100000+C122)</x:f>
        <x:v>0</x:v>
      </x:c>
    </x:row>
    <x:row r="123" ht="20" customHeight="1">
      <x:c r="A123" s="22"/>
      <x:c r="B123" s="22"/>
      <x:c r="C123" s="22"/>
      <x:c r="D123" s="28"/>
      <x:c r="E123" s="28"/>
      <x:c r="F123" s="22"/>
      <x:c r="G123" s="22"/>
      <x:c r="H123" s="36" t="n">
        <x:f>IF(A123="",0,IF(F123="active",1,IF(F123="inactive",2,0)))</x:f>
        <x:v>0</x:v>
      </x:c>
      <x:c r="I123" s="36" t="n">
        <x:f>IF(A123="",0,IF(AND(D123&lt;='01_설정'!$B$6,E123&lt;='01_설정'!$B$7),1,0))</x:f>
        <x:v>0</x:v>
      </x:c>
      <x:c r="J123" s="36" t="n">
        <x:f>IF(A123="",0,D123*100000+C123)</x:f>
        <x:v>0</x:v>
      </x:c>
    </x:row>
    <x:row r="124" ht="20" customHeight="1">
      <x:c r="A124" s="22"/>
      <x:c r="B124" s="22"/>
      <x:c r="C124" s="22"/>
      <x:c r="D124" s="28"/>
      <x:c r="E124" s="28"/>
      <x:c r="F124" s="22"/>
      <x:c r="G124" s="22"/>
      <x:c r="H124" s="36" t="n">
        <x:f>IF(A124="",0,IF(F124="active",1,IF(F124="inactive",2,0)))</x:f>
        <x:v>0</x:v>
      </x:c>
      <x:c r="I124" s="36" t="n">
        <x:f>IF(A124="",0,IF(AND(D124&lt;='01_설정'!$B$6,E124&lt;='01_설정'!$B$7),1,0))</x:f>
        <x:v>0</x:v>
      </x:c>
      <x:c r="J124" s="36" t="n">
        <x:f>IF(A124="",0,D124*100000+C124)</x:f>
        <x:v>0</x:v>
      </x:c>
    </x:row>
    <x:row r="125" ht="20" customHeight="1">
      <x:c r="A125" s="22"/>
      <x:c r="B125" s="22"/>
      <x:c r="C125" s="22"/>
      <x:c r="D125" s="28"/>
      <x:c r="E125" s="28"/>
      <x:c r="F125" s="22"/>
      <x:c r="G125" s="22"/>
      <x:c r="H125" s="36" t="n">
        <x:f>IF(A125="",0,IF(F125="active",1,IF(F125="inactive",2,0)))</x:f>
        <x:v>0</x:v>
      </x:c>
      <x:c r="I125" s="36" t="n">
        <x:f>IF(A125="",0,IF(AND(D125&lt;='01_설정'!$B$6,E125&lt;='01_설정'!$B$7),1,0))</x:f>
        <x:v>0</x:v>
      </x:c>
      <x:c r="J125" s="36" t="n">
        <x:f>IF(A125="",0,D125*100000+C125)</x:f>
        <x:v>0</x:v>
      </x:c>
    </x:row>
    <x:row r="126" ht="20" customHeight="1">
      <x:c r="A126" s="22"/>
      <x:c r="B126" s="22"/>
      <x:c r="C126" s="22"/>
      <x:c r="D126" s="28"/>
      <x:c r="E126" s="28"/>
      <x:c r="F126" s="22"/>
      <x:c r="G126" s="22"/>
      <x:c r="H126" s="36" t="n">
        <x:f>IF(A126="",0,IF(F126="active",1,IF(F126="inactive",2,0)))</x:f>
        <x:v>0</x:v>
      </x:c>
      <x:c r="I126" s="36" t="n">
        <x:f>IF(A126="",0,IF(AND(D126&lt;='01_설정'!$B$6,E126&lt;='01_설정'!$B$7),1,0))</x:f>
        <x:v>0</x:v>
      </x:c>
      <x:c r="J126" s="36" t="n">
        <x:f>IF(A126="",0,D126*100000+C126)</x:f>
        <x:v>0</x:v>
      </x:c>
    </x:row>
    <x:row r="127" ht="20" customHeight="1">
      <x:c r="A127" s="22"/>
      <x:c r="B127" s="22"/>
      <x:c r="C127" s="22"/>
      <x:c r="D127" s="28"/>
      <x:c r="E127" s="28"/>
      <x:c r="F127" s="22"/>
      <x:c r="G127" s="22"/>
      <x:c r="H127" s="36" t="n">
        <x:f>IF(A127="",0,IF(F127="active",1,IF(F127="inactive",2,0)))</x:f>
        <x:v>0</x:v>
      </x:c>
      <x:c r="I127" s="36" t="n">
        <x:f>IF(A127="",0,IF(AND(D127&lt;='01_설정'!$B$6,E127&lt;='01_설정'!$B$7),1,0))</x:f>
        <x:v>0</x:v>
      </x:c>
      <x:c r="J127" s="36" t="n">
        <x:f>IF(A127="",0,D127*100000+C127)</x:f>
        <x:v>0</x:v>
      </x:c>
    </x:row>
    <x:row r="128" ht="20" customHeight="1">
      <x:c r="A128" s="22"/>
      <x:c r="B128" s="22"/>
      <x:c r="C128" s="22"/>
      <x:c r="D128" s="28"/>
      <x:c r="E128" s="28"/>
      <x:c r="F128" s="22"/>
      <x:c r="G128" s="22"/>
      <x:c r="H128" s="36" t="n">
        <x:f>IF(A128="",0,IF(F128="active",1,IF(F128="inactive",2,0)))</x:f>
        <x:v>0</x:v>
      </x:c>
      <x:c r="I128" s="36" t="n">
        <x:f>IF(A128="",0,IF(AND(D128&lt;='01_설정'!$B$6,E128&lt;='01_설정'!$B$7),1,0))</x:f>
        <x:v>0</x:v>
      </x:c>
      <x:c r="J128" s="36" t="n">
        <x:f>IF(A128="",0,D128*100000+C128)</x:f>
        <x:v>0</x:v>
      </x:c>
    </x:row>
    <x:row r="129" ht="20" customHeight="1">
      <x:c r="A129" s="22"/>
      <x:c r="B129" s="22"/>
      <x:c r="C129" s="22"/>
      <x:c r="D129" s="28"/>
      <x:c r="E129" s="28"/>
      <x:c r="F129" s="22"/>
      <x:c r="G129" s="22"/>
      <x:c r="H129" s="36" t="n">
        <x:f>IF(A129="",0,IF(F129="active",1,IF(F129="inactive",2,0)))</x:f>
        <x:v>0</x:v>
      </x:c>
      <x:c r="I129" s="36" t="n">
        <x:f>IF(A129="",0,IF(AND(D129&lt;='01_설정'!$B$6,E129&lt;='01_설정'!$B$7),1,0))</x:f>
        <x:v>0</x:v>
      </x:c>
      <x:c r="J129" s="36" t="n">
        <x:f>IF(A129="",0,D129*100000+C129)</x:f>
        <x:v>0</x:v>
      </x:c>
    </x:row>
    <x:row r="130" ht="20" customHeight="1">
      <x:c r="A130" s="22"/>
      <x:c r="B130" s="22"/>
      <x:c r="C130" s="22"/>
      <x:c r="D130" s="28"/>
      <x:c r="E130" s="28"/>
      <x:c r="F130" s="22"/>
      <x:c r="G130" s="22"/>
      <x:c r="H130" s="36" t="n">
        <x:f>IF(A130="",0,IF(F130="active",1,IF(F130="inactive",2,0)))</x:f>
        <x:v>0</x:v>
      </x:c>
      <x:c r="I130" s="36" t="n">
        <x:f>IF(A130="",0,IF(AND(D130&lt;='01_설정'!$B$6,E130&lt;='01_설정'!$B$7),1,0))</x:f>
        <x:v>0</x:v>
      </x:c>
      <x:c r="J130" s="36" t="n">
        <x:f>IF(A130="",0,D130*100000+C130)</x:f>
        <x:v>0</x:v>
      </x:c>
    </x:row>
    <x:row r="131" ht="20" customHeight="1">
      <x:c r="A131" s="22"/>
      <x:c r="B131" s="22"/>
      <x:c r="C131" s="22"/>
      <x:c r="D131" s="28"/>
      <x:c r="E131" s="28"/>
      <x:c r="F131" s="22"/>
      <x:c r="G131" s="22"/>
      <x:c r="H131" s="36" t="n">
        <x:f>IF(A131="",0,IF(F131="active",1,IF(F131="inactive",2,0)))</x:f>
        <x:v>0</x:v>
      </x:c>
      <x:c r="I131" s="36" t="n">
        <x:f>IF(A131="",0,IF(AND(D131&lt;='01_설정'!$B$6,E131&lt;='01_설정'!$B$7),1,0))</x:f>
        <x:v>0</x:v>
      </x:c>
      <x:c r="J131" s="36" t="n">
        <x:f>IF(A131="",0,D131*100000+C131)</x:f>
        <x:v>0</x:v>
      </x:c>
    </x:row>
    <x:row r="132" ht="20" customHeight="1">
      <x:c r="A132" s="22"/>
      <x:c r="B132" s="22"/>
      <x:c r="C132" s="22"/>
      <x:c r="D132" s="28"/>
      <x:c r="E132" s="28"/>
      <x:c r="F132" s="22"/>
      <x:c r="G132" s="22"/>
      <x:c r="H132" s="36" t="n">
        <x:f>IF(A132="",0,IF(F132="active",1,IF(F132="inactive",2,0)))</x:f>
        <x:v>0</x:v>
      </x:c>
      <x:c r="I132" s="36" t="n">
        <x:f>IF(A132="",0,IF(AND(D132&lt;='01_설정'!$B$6,E132&lt;='01_설정'!$B$7),1,0))</x:f>
        <x:v>0</x:v>
      </x:c>
      <x:c r="J132" s="36" t="n">
        <x:f>IF(A132="",0,D132*100000+C132)</x:f>
        <x:v>0</x:v>
      </x:c>
    </x:row>
    <x:row r="133" ht="20" customHeight="1">
      <x:c r="A133" s="22"/>
      <x:c r="B133" s="22"/>
      <x:c r="C133" s="22"/>
      <x:c r="D133" s="28"/>
      <x:c r="E133" s="28"/>
      <x:c r="F133" s="22"/>
      <x:c r="G133" s="22"/>
      <x:c r="H133" s="36" t="n">
        <x:f>IF(A133="",0,IF(F133="active",1,IF(F133="inactive",2,0)))</x:f>
        <x:v>0</x:v>
      </x:c>
      <x:c r="I133" s="36" t="n">
        <x:f>IF(A133="",0,IF(AND(D133&lt;='01_설정'!$B$6,E133&lt;='01_설정'!$B$7),1,0))</x:f>
        <x:v>0</x:v>
      </x:c>
      <x:c r="J133" s="36" t="n">
        <x:f>IF(A133="",0,D133*100000+C133)</x:f>
        <x:v>0</x:v>
      </x:c>
    </x:row>
    <x:row r="134" ht="20" customHeight="1">
      <x:c r="A134" s="22"/>
      <x:c r="B134" s="22"/>
      <x:c r="C134" s="22"/>
      <x:c r="D134" s="28"/>
      <x:c r="E134" s="28"/>
      <x:c r="F134" s="22"/>
      <x:c r="G134" s="22"/>
      <x:c r="H134" s="36" t="n">
        <x:f>IF(A134="",0,IF(F134="active",1,IF(F134="inactive",2,0)))</x:f>
        <x:v>0</x:v>
      </x:c>
      <x:c r="I134" s="36" t="n">
        <x:f>IF(A134="",0,IF(AND(D134&lt;='01_설정'!$B$6,E134&lt;='01_설정'!$B$7),1,0))</x:f>
        <x:v>0</x:v>
      </x:c>
      <x:c r="J134" s="36" t="n">
        <x:f>IF(A134="",0,D134*100000+C134)</x:f>
        <x:v>0</x:v>
      </x:c>
    </x:row>
    <x:row r="135" ht="20" customHeight="1">
      <x:c r="A135" s="22"/>
      <x:c r="B135" s="22"/>
      <x:c r="C135" s="22"/>
      <x:c r="D135" s="28"/>
      <x:c r="E135" s="28"/>
      <x:c r="F135" s="22"/>
      <x:c r="G135" s="22"/>
      <x:c r="H135" s="36" t="n">
        <x:f>IF(A135="",0,IF(F135="active",1,IF(F135="inactive",2,0)))</x:f>
        <x:v>0</x:v>
      </x:c>
      <x:c r="I135" s="36" t="n">
        <x:f>IF(A135="",0,IF(AND(D135&lt;='01_설정'!$B$6,E135&lt;='01_설정'!$B$7),1,0))</x:f>
        <x:v>0</x:v>
      </x:c>
      <x:c r="J135" s="36" t="n">
        <x:f>IF(A135="",0,D135*100000+C135)</x:f>
        <x:v>0</x:v>
      </x:c>
    </x:row>
    <x:row r="136" ht="20" customHeight="1">
      <x:c r="A136" s="22"/>
      <x:c r="B136" s="22"/>
      <x:c r="C136" s="22"/>
      <x:c r="D136" s="28"/>
      <x:c r="E136" s="28"/>
      <x:c r="F136" s="22"/>
      <x:c r="G136" s="22"/>
      <x:c r="H136" s="36" t="n">
        <x:f>IF(A136="",0,IF(F136="active",1,IF(F136="inactive",2,0)))</x:f>
        <x:v>0</x:v>
      </x:c>
      <x:c r="I136" s="36" t="n">
        <x:f>IF(A136="",0,IF(AND(D136&lt;='01_설정'!$B$6,E136&lt;='01_설정'!$B$7),1,0))</x:f>
        <x:v>0</x:v>
      </x:c>
      <x:c r="J136" s="36" t="n">
        <x:f>IF(A136="",0,D136*100000+C136)</x:f>
        <x:v>0</x:v>
      </x:c>
    </x:row>
    <x:row r="137" ht="20" customHeight="1">
      <x:c r="A137" s="22"/>
      <x:c r="B137" s="22"/>
      <x:c r="C137" s="22"/>
      <x:c r="D137" s="28"/>
      <x:c r="E137" s="28"/>
      <x:c r="F137" s="22"/>
      <x:c r="G137" s="22"/>
      <x:c r="H137" s="36" t="n">
        <x:f>IF(A137="",0,IF(F137="active",1,IF(F137="inactive",2,0)))</x:f>
        <x:v>0</x:v>
      </x:c>
      <x:c r="I137" s="36" t="n">
        <x:f>IF(A137="",0,IF(AND(D137&lt;='01_설정'!$B$6,E137&lt;='01_설정'!$B$7),1,0))</x:f>
        <x:v>0</x:v>
      </x:c>
      <x:c r="J137" s="36" t="n">
        <x:f>IF(A137="",0,D137*100000+C137)</x:f>
        <x:v>0</x:v>
      </x:c>
    </x:row>
    <x:row r="138" ht="20" customHeight="1">
      <x:c r="A138" s="22"/>
      <x:c r="B138" s="22"/>
      <x:c r="C138" s="22"/>
      <x:c r="D138" s="28"/>
      <x:c r="E138" s="28"/>
      <x:c r="F138" s="22"/>
      <x:c r="G138" s="22"/>
      <x:c r="H138" s="36" t="n">
        <x:f>IF(A138="",0,IF(F138="active",1,IF(F138="inactive",2,0)))</x:f>
        <x:v>0</x:v>
      </x:c>
      <x:c r="I138" s="36" t="n">
        <x:f>IF(A138="",0,IF(AND(D138&lt;='01_설정'!$B$6,E138&lt;='01_설정'!$B$7),1,0))</x:f>
        <x:v>0</x:v>
      </x:c>
      <x:c r="J138" s="36" t="n">
        <x:f>IF(A138="",0,D138*100000+C138)</x:f>
        <x:v>0</x:v>
      </x:c>
    </x:row>
    <x:row r="139" ht="20" customHeight="1">
      <x:c r="A139" s="22"/>
      <x:c r="B139" s="22"/>
      <x:c r="C139" s="22"/>
      <x:c r="D139" s="28"/>
      <x:c r="E139" s="28"/>
      <x:c r="F139" s="22"/>
      <x:c r="G139" s="22"/>
      <x:c r="H139" s="36" t="n">
        <x:f>IF(A139="",0,IF(F139="active",1,IF(F139="inactive",2,0)))</x:f>
        <x:v>0</x:v>
      </x:c>
      <x:c r="I139" s="36" t="n">
        <x:f>IF(A139="",0,IF(AND(D139&lt;='01_설정'!$B$6,E139&lt;='01_설정'!$B$7),1,0))</x:f>
        <x:v>0</x:v>
      </x:c>
      <x:c r="J139" s="36" t="n">
        <x:f>IF(A139="",0,D139*100000+C139)</x:f>
        <x:v>0</x:v>
      </x:c>
    </x:row>
    <x:row r="140" ht="20" customHeight="1">
      <x:c r="A140" s="22"/>
      <x:c r="B140" s="22"/>
      <x:c r="C140" s="22"/>
      <x:c r="D140" s="28"/>
      <x:c r="E140" s="28"/>
      <x:c r="F140" s="22"/>
      <x:c r="G140" s="22"/>
      <x:c r="H140" s="36" t="n">
        <x:f>IF(A140="",0,IF(F140="active",1,IF(F140="inactive",2,0)))</x:f>
        <x:v>0</x:v>
      </x:c>
      <x:c r="I140" s="36" t="n">
        <x:f>IF(A140="",0,IF(AND(D140&lt;='01_설정'!$B$6,E140&lt;='01_설정'!$B$7),1,0))</x:f>
        <x:v>0</x:v>
      </x:c>
      <x:c r="J140" s="36" t="n">
        <x:f>IF(A140="",0,D140*100000+C140)</x:f>
        <x:v>0</x:v>
      </x:c>
    </x:row>
    <x:row r="141" ht="20" customHeight="1">
      <x:c r="A141" s="22"/>
      <x:c r="B141" s="22"/>
      <x:c r="C141" s="22"/>
      <x:c r="D141" s="28"/>
      <x:c r="E141" s="28"/>
      <x:c r="F141" s="22"/>
      <x:c r="G141" s="22"/>
      <x:c r="H141" s="36" t="n">
        <x:f>IF(A141="",0,IF(F141="active",1,IF(F141="inactive",2,0)))</x:f>
        <x:v>0</x:v>
      </x:c>
      <x:c r="I141" s="36" t="n">
        <x:f>IF(A141="",0,IF(AND(D141&lt;='01_설정'!$B$6,E141&lt;='01_설정'!$B$7),1,0))</x:f>
        <x:v>0</x:v>
      </x:c>
      <x:c r="J141" s="36" t="n">
        <x:f>IF(A141="",0,D141*100000+C141)</x:f>
        <x:v>0</x:v>
      </x:c>
    </x:row>
    <x:row r="142" ht="20" customHeight="1">
      <x:c r="A142" s="22"/>
      <x:c r="B142" s="22"/>
      <x:c r="C142" s="22"/>
      <x:c r="D142" s="28"/>
      <x:c r="E142" s="28"/>
      <x:c r="F142" s="22"/>
      <x:c r="G142" s="22"/>
      <x:c r="H142" s="36" t="n">
        <x:f>IF(A142="",0,IF(F142="active",1,IF(F142="inactive",2,0)))</x:f>
        <x:v>0</x:v>
      </x:c>
      <x:c r="I142" s="36" t="n">
        <x:f>IF(A142="",0,IF(AND(D142&lt;='01_설정'!$B$6,E142&lt;='01_설정'!$B$7),1,0))</x:f>
        <x:v>0</x:v>
      </x:c>
      <x:c r="J142" s="36" t="n">
        <x:f>IF(A142="",0,D142*100000+C142)</x:f>
        <x:v>0</x:v>
      </x:c>
    </x:row>
    <x:row r="143" ht="20" customHeight="1">
      <x:c r="A143" s="22"/>
      <x:c r="B143" s="22"/>
      <x:c r="C143" s="22"/>
      <x:c r="D143" s="28"/>
      <x:c r="E143" s="28"/>
      <x:c r="F143" s="22"/>
      <x:c r="G143" s="22"/>
      <x:c r="H143" s="36" t="n">
        <x:f>IF(A143="",0,IF(F143="active",1,IF(F143="inactive",2,0)))</x:f>
        <x:v>0</x:v>
      </x:c>
      <x:c r="I143" s="36" t="n">
        <x:f>IF(A143="",0,IF(AND(D143&lt;='01_설정'!$B$6,E143&lt;='01_설정'!$B$7),1,0))</x:f>
        <x:v>0</x:v>
      </x:c>
      <x:c r="J143" s="36" t="n">
        <x:f>IF(A143="",0,D143*100000+C143)</x:f>
        <x:v>0</x:v>
      </x:c>
    </x:row>
    <x:row r="144" ht="20" customHeight="1">
      <x:c r="A144" s="22"/>
      <x:c r="B144" s="22"/>
      <x:c r="C144" s="22"/>
      <x:c r="D144" s="28"/>
      <x:c r="E144" s="28"/>
      <x:c r="F144" s="22"/>
      <x:c r="G144" s="22"/>
      <x:c r="H144" s="36" t="n">
        <x:f>IF(A144="",0,IF(F144="active",1,IF(F144="inactive",2,0)))</x:f>
        <x:v>0</x:v>
      </x:c>
      <x:c r="I144" s="36" t="n">
        <x:f>IF(A144="",0,IF(AND(D144&lt;='01_설정'!$B$6,E144&lt;='01_설정'!$B$7),1,0))</x:f>
        <x:v>0</x:v>
      </x:c>
      <x:c r="J144" s="36" t="n">
        <x:f>IF(A144="",0,D144*100000+C144)</x:f>
        <x:v>0</x:v>
      </x:c>
    </x:row>
    <x:row r="145" ht="20" customHeight="1">
      <x:c r="A145" s="22"/>
      <x:c r="B145" s="22"/>
      <x:c r="C145" s="22"/>
      <x:c r="D145" s="28"/>
      <x:c r="E145" s="28"/>
      <x:c r="F145" s="22"/>
      <x:c r="G145" s="22"/>
      <x:c r="H145" s="36" t="n">
        <x:f>IF(A145="",0,IF(F145="active",1,IF(F145="inactive",2,0)))</x:f>
        <x:v>0</x:v>
      </x:c>
      <x:c r="I145" s="36" t="n">
        <x:f>IF(A145="",0,IF(AND(D145&lt;='01_설정'!$B$6,E145&lt;='01_설정'!$B$7),1,0))</x:f>
        <x:v>0</x:v>
      </x:c>
      <x:c r="J145" s="36" t="n">
        <x:f>IF(A145="",0,D145*100000+C145)</x:f>
        <x:v>0</x:v>
      </x:c>
    </x:row>
    <x:row r="146" ht="20" customHeight="1">
      <x:c r="A146" s="22"/>
      <x:c r="B146" s="22"/>
      <x:c r="C146" s="22"/>
      <x:c r="D146" s="28"/>
      <x:c r="E146" s="28"/>
      <x:c r="F146" s="22"/>
      <x:c r="G146" s="22"/>
      <x:c r="H146" s="36" t="n">
        <x:f>IF(A146="",0,IF(F146="active",1,IF(F146="inactive",2,0)))</x:f>
        <x:v>0</x:v>
      </x:c>
      <x:c r="I146" s="36" t="n">
        <x:f>IF(A146="",0,IF(AND(D146&lt;='01_설정'!$B$6,E146&lt;='01_설정'!$B$7),1,0))</x:f>
        <x:v>0</x:v>
      </x:c>
      <x:c r="J146" s="36" t="n">
        <x:f>IF(A146="",0,D146*100000+C146)</x:f>
        <x:v>0</x:v>
      </x:c>
    </x:row>
    <x:row r="147" ht="20" customHeight="1">
      <x:c r="A147" s="22"/>
      <x:c r="B147" s="22"/>
      <x:c r="C147" s="22"/>
      <x:c r="D147" s="28"/>
      <x:c r="E147" s="28"/>
      <x:c r="F147" s="22"/>
      <x:c r="G147" s="22"/>
      <x:c r="H147" s="36" t="n">
        <x:f>IF(A147="",0,IF(F147="active",1,IF(F147="inactive",2,0)))</x:f>
        <x:v>0</x:v>
      </x:c>
      <x:c r="I147" s="36" t="n">
        <x:f>IF(A147="",0,IF(AND(D147&lt;='01_설정'!$B$6,E147&lt;='01_설정'!$B$7),1,0))</x:f>
        <x:v>0</x:v>
      </x:c>
      <x:c r="J147" s="36" t="n">
        <x:f>IF(A147="",0,D147*100000+C147)</x:f>
        <x:v>0</x:v>
      </x:c>
    </x:row>
    <x:row r="148" ht="20" customHeight="1">
      <x:c r="A148" s="22"/>
      <x:c r="B148" s="22"/>
      <x:c r="C148" s="22"/>
      <x:c r="D148" s="28"/>
      <x:c r="E148" s="28"/>
      <x:c r="F148" s="22"/>
      <x:c r="G148" s="22"/>
      <x:c r="H148" s="36" t="n">
        <x:f>IF(A148="",0,IF(F148="active",1,IF(F148="inactive",2,0)))</x:f>
        <x:v>0</x:v>
      </x:c>
      <x:c r="I148" s="36" t="n">
        <x:f>IF(A148="",0,IF(AND(D148&lt;='01_설정'!$B$6,E148&lt;='01_설정'!$B$7),1,0))</x:f>
        <x:v>0</x:v>
      </x:c>
      <x:c r="J148" s="36" t="n">
        <x:f>IF(A148="",0,D148*100000+C148)</x:f>
        <x:v>0</x:v>
      </x:c>
    </x:row>
    <x:row r="149" ht="20" customHeight="1">
      <x:c r="A149" s="22"/>
      <x:c r="B149" s="22"/>
      <x:c r="C149" s="22"/>
      <x:c r="D149" s="28"/>
      <x:c r="E149" s="28"/>
      <x:c r="F149" s="22"/>
      <x:c r="G149" s="22"/>
      <x:c r="H149" s="36" t="n">
        <x:f>IF(A149="",0,IF(F149="active",1,IF(F149="inactive",2,0)))</x:f>
        <x:v>0</x:v>
      </x:c>
      <x:c r="I149" s="36" t="n">
        <x:f>IF(A149="",0,IF(AND(D149&lt;='01_설정'!$B$6,E149&lt;='01_설정'!$B$7),1,0))</x:f>
        <x:v>0</x:v>
      </x:c>
      <x:c r="J149" s="36" t="n">
        <x:f>IF(A149="",0,D149*100000+C149)</x:f>
        <x:v>0</x:v>
      </x:c>
    </x:row>
    <x:row r="150" ht="20" customHeight="1">
      <x:c r="A150" s="22"/>
      <x:c r="B150" s="22"/>
      <x:c r="C150" s="22"/>
      <x:c r="D150" s="28"/>
      <x:c r="E150" s="28"/>
      <x:c r="F150" s="22"/>
      <x:c r="G150" s="22"/>
      <x:c r="H150" s="36" t="n">
        <x:f>IF(A150="",0,IF(F150="active",1,IF(F150="inactive",2,0)))</x:f>
        <x:v>0</x:v>
      </x:c>
      <x:c r="I150" s="36" t="n">
        <x:f>IF(A150="",0,IF(AND(D150&lt;='01_설정'!$B$6,E150&lt;='01_설정'!$B$7),1,0))</x:f>
        <x:v>0</x:v>
      </x:c>
      <x:c r="J150" s="36" t="n">
        <x:f>IF(A150="",0,D150*100000+C150)</x:f>
        <x:v>0</x:v>
      </x:c>
    </x:row>
    <x:row r="151" ht="20" customHeight="1">
      <x:c r="A151" s="22"/>
      <x:c r="B151" s="22"/>
      <x:c r="C151" s="22"/>
      <x:c r="D151" s="28"/>
      <x:c r="E151" s="28"/>
      <x:c r="F151" s="22"/>
      <x:c r="G151" s="22"/>
      <x:c r="H151" s="36" t="n">
        <x:f>IF(A151="",0,IF(F151="active",1,IF(F151="inactive",2,0)))</x:f>
        <x:v>0</x:v>
      </x:c>
      <x:c r="I151" s="36" t="n">
        <x:f>IF(A151="",0,IF(AND(D151&lt;='01_설정'!$B$6,E151&lt;='01_설정'!$B$7),1,0))</x:f>
        <x:v>0</x:v>
      </x:c>
      <x:c r="J151" s="36" t="n">
        <x:f>IF(A151="",0,D151*100000+C151)</x:f>
        <x:v>0</x:v>
      </x:c>
    </x:row>
    <x:row r="152" ht="20" customHeight="1">
      <x:c r="A152" s="22"/>
      <x:c r="B152" s="22"/>
      <x:c r="C152" s="22"/>
      <x:c r="D152" s="28"/>
      <x:c r="E152" s="28"/>
      <x:c r="F152" s="22"/>
      <x:c r="G152" s="22"/>
      <x:c r="H152" s="36" t="n">
        <x:f>IF(A152="",0,IF(F152="active",1,IF(F152="inactive",2,0)))</x:f>
        <x:v>0</x:v>
      </x:c>
      <x:c r="I152" s="36" t="n">
        <x:f>IF(A152="",0,IF(AND(D152&lt;='01_설정'!$B$6,E152&lt;='01_설정'!$B$7),1,0))</x:f>
        <x:v>0</x:v>
      </x:c>
      <x:c r="J152" s="36" t="n">
        <x:f>IF(A152="",0,D152*100000+C152)</x:f>
        <x:v>0</x:v>
      </x:c>
    </x:row>
    <x:row r="153" ht="20" customHeight="1">
      <x:c r="A153" s="22"/>
      <x:c r="B153" s="22"/>
      <x:c r="C153" s="22"/>
      <x:c r="D153" s="28"/>
      <x:c r="E153" s="28"/>
      <x:c r="F153" s="22"/>
      <x:c r="G153" s="22"/>
      <x:c r="H153" s="36" t="n">
        <x:f>IF(A153="",0,IF(F153="active",1,IF(F153="inactive",2,0)))</x:f>
        <x:v>0</x:v>
      </x:c>
      <x:c r="I153" s="36" t="n">
        <x:f>IF(A153="",0,IF(AND(D153&lt;='01_설정'!$B$6,E153&lt;='01_설정'!$B$7),1,0))</x:f>
        <x:v>0</x:v>
      </x:c>
      <x:c r="J153" s="36" t="n">
        <x:f>IF(A153="",0,D153*100000+C153)</x:f>
        <x:v>0</x:v>
      </x:c>
    </x:row>
    <x:row r="154" ht="20" customHeight="1">
      <x:c r="A154" s="22"/>
      <x:c r="B154" s="22"/>
      <x:c r="C154" s="22"/>
      <x:c r="D154" s="28"/>
      <x:c r="E154" s="28"/>
      <x:c r="F154" s="22"/>
      <x:c r="G154" s="22"/>
      <x:c r="H154" s="36" t="n">
        <x:f>IF(A154="",0,IF(F154="active",1,IF(F154="inactive",2,0)))</x:f>
        <x:v>0</x:v>
      </x:c>
      <x:c r="I154" s="36" t="n">
        <x:f>IF(A154="",0,IF(AND(D154&lt;='01_설정'!$B$6,E154&lt;='01_설정'!$B$7),1,0))</x:f>
        <x:v>0</x:v>
      </x:c>
      <x:c r="J154" s="36" t="n">
        <x:f>IF(A154="",0,D154*100000+C154)</x:f>
        <x:v>0</x:v>
      </x:c>
    </x:row>
    <x:row r="155" ht="20" customHeight="1">
      <x:c r="A155" s="22"/>
      <x:c r="B155" s="22"/>
      <x:c r="C155" s="22"/>
      <x:c r="D155" s="28"/>
      <x:c r="E155" s="28"/>
      <x:c r="F155" s="22"/>
      <x:c r="G155" s="22"/>
      <x:c r="H155" s="36" t="n">
        <x:f>IF(A155="",0,IF(F155="active",1,IF(F155="inactive",2,0)))</x:f>
        <x:v>0</x:v>
      </x:c>
      <x:c r="I155" s="36" t="n">
        <x:f>IF(A155="",0,IF(AND(D155&lt;='01_설정'!$B$6,E155&lt;='01_설정'!$B$7),1,0))</x:f>
        <x:v>0</x:v>
      </x:c>
      <x:c r="J155" s="36" t="n">
        <x:f>IF(A155="",0,D155*100000+C155)</x:f>
        <x:v>0</x:v>
      </x:c>
    </x:row>
    <x:row r="156" ht="20" customHeight="1">
      <x:c r="A156" s="22"/>
      <x:c r="B156" s="22"/>
      <x:c r="C156" s="22"/>
      <x:c r="D156" s="28"/>
      <x:c r="E156" s="28"/>
      <x:c r="F156" s="22"/>
      <x:c r="G156" s="22"/>
      <x:c r="H156" s="36" t="n">
        <x:f>IF(A156="",0,IF(F156="active",1,IF(F156="inactive",2,0)))</x:f>
        <x:v>0</x:v>
      </x:c>
      <x:c r="I156" s="36" t="n">
        <x:f>IF(A156="",0,IF(AND(D156&lt;='01_설정'!$B$6,E156&lt;='01_설정'!$B$7),1,0))</x:f>
        <x:v>0</x:v>
      </x:c>
      <x:c r="J156" s="36" t="n">
        <x:f>IF(A156="",0,D156*100000+C156)</x:f>
        <x:v>0</x:v>
      </x:c>
    </x:row>
    <x:row r="157" ht="20" customHeight="1">
      <x:c r="A157" s="22"/>
      <x:c r="B157" s="22"/>
      <x:c r="C157" s="22"/>
      <x:c r="D157" s="28"/>
      <x:c r="E157" s="28"/>
      <x:c r="F157" s="22"/>
      <x:c r="G157" s="22"/>
      <x:c r="H157" s="36" t="n">
        <x:f>IF(A157="",0,IF(F157="active",1,IF(F157="inactive",2,0)))</x:f>
        <x:v>0</x:v>
      </x:c>
      <x:c r="I157" s="36" t="n">
        <x:f>IF(A157="",0,IF(AND(D157&lt;='01_설정'!$B$6,E157&lt;='01_설정'!$B$7),1,0))</x:f>
        <x:v>0</x:v>
      </x:c>
      <x:c r="J157" s="36" t="n">
        <x:f>IF(A157="",0,D157*100000+C157)</x:f>
        <x:v>0</x:v>
      </x:c>
    </x:row>
    <x:row r="158" ht="20" customHeight="1">
      <x:c r="A158" s="22"/>
      <x:c r="B158" s="22"/>
      <x:c r="C158" s="22"/>
      <x:c r="D158" s="28"/>
      <x:c r="E158" s="28"/>
      <x:c r="F158" s="22"/>
      <x:c r="G158" s="22"/>
      <x:c r="H158" s="36" t="n">
        <x:f>IF(A158="",0,IF(F158="active",1,IF(F158="inactive",2,0)))</x:f>
        <x:v>0</x:v>
      </x:c>
      <x:c r="I158" s="36" t="n">
        <x:f>IF(A158="",0,IF(AND(D158&lt;='01_설정'!$B$6,E158&lt;='01_설정'!$B$7),1,0))</x:f>
        <x:v>0</x:v>
      </x:c>
      <x:c r="J158" s="36" t="n">
        <x:f>IF(A158="",0,D158*100000+C158)</x:f>
        <x:v>0</x:v>
      </x:c>
    </x:row>
    <x:row r="159" ht="20" customHeight="1">
      <x:c r="A159" s="22"/>
      <x:c r="B159" s="22"/>
      <x:c r="C159" s="22"/>
      <x:c r="D159" s="28"/>
      <x:c r="E159" s="28"/>
      <x:c r="F159" s="22"/>
      <x:c r="G159" s="22"/>
      <x:c r="H159" s="36" t="n">
        <x:f>IF(A159="",0,IF(F159="active",1,IF(F159="inactive",2,0)))</x:f>
        <x:v>0</x:v>
      </x:c>
      <x:c r="I159" s="36" t="n">
        <x:f>IF(A159="",0,IF(AND(D159&lt;='01_설정'!$B$6,E159&lt;='01_설정'!$B$7),1,0))</x:f>
        <x:v>0</x:v>
      </x:c>
      <x:c r="J159" s="36" t="n">
        <x:f>IF(A159="",0,D159*100000+C159)</x:f>
        <x:v>0</x:v>
      </x:c>
    </x:row>
    <x:row r="160" ht="20" customHeight="1">
      <x:c r="A160" s="22"/>
      <x:c r="B160" s="22"/>
      <x:c r="C160" s="22"/>
      <x:c r="D160" s="28"/>
      <x:c r="E160" s="28"/>
      <x:c r="F160" s="22"/>
      <x:c r="G160" s="22"/>
      <x:c r="H160" s="36" t="n">
        <x:f>IF(A160="",0,IF(F160="active",1,IF(F160="inactive",2,0)))</x:f>
        <x:v>0</x:v>
      </x:c>
      <x:c r="I160" s="36" t="n">
        <x:f>IF(A160="",0,IF(AND(D160&lt;='01_설정'!$B$6,E160&lt;='01_설정'!$B$7),1,0))</x:f>
        <x:v>0</x:v>
      </x:c>
      <x:c r="J160" s="36" t="n">
        <x:f>IF(A160="",0,D160*100000+C160)</x:f>
        <x:v>0</x:v>
      </x:c>
    </x:row>
    <x:row r="161" ht="20" customHeight="1">
      <x:c r="A161" s="22"/>
      <x:c r="B161" s="22"/>
      <x:c r="C161" s="22"/>
      <x:c r="D161" s="28"/>
      <x:c r="E161" s="28"/>
      <x:c r="F161" s="22"/>
      <x:c r="G161" s="22"/>
      <x:c r="H161" s="36" t="n">
        <x:f>IF(A161="",0,IF(F161="active",1,IF(F161="inactive",2,0)))</x:f>
        <x:v>0</x:v>
      </x:c>
      <x:c r="I161" s="36" t="n">
        <x:f>IF(A161="",0,IF(AND(D161&lt;='01_설정'!$B$6,E161&lt;='01_설정'!$B$7),1,0))</x:f>
        <x:v>0</x:v>
      </x:c>
      <x:c r="J161" s="36" t="n">
        <x:f>IF(A161="",0,D161*100000+C161)</x:f>
        <x:v>0</x:v>
      </x:c>
    </x:row>
    <x:row r="162" ht="20" customHeight="1">
      <x:c r="A162" s="22"/>
      <x:c r="B162" s="22"/>
      <x:c r="C162" s="22"/>
      <x:c r="D162" s="28"/>
      <x:c r="E162" s="28"/>
      <x:c r="F162" s="22"/>
      <x:c r="G162" s="22"/>
      <x:c r="H162" s="36" t="n">
        <x:f>IF(A162="",0,IF(F162="active",1,IF(F162="inactive",2,0)))</x:f>
        <x:v>0</x:v>
      </x:c>
      <x:c r="I162" s="36" t="n">
        <x:f>IF(A162="",0,IF(AND(D162&lt;='01_설정'!$B$6,E162&lt;='01_설정'!$B$7),1,0))</x:f>
        <x:v>0</x:v>
      </x:c>
      <x:c r="J162" s="36" t="n">
        <x:f>IF(A162="",0,D162*100000+C162)</x:f>
        <x:v>0</x:v>
      </x:c>
    </x:row>
    <x:row r="163" ht="20" customHeight="1">
      <x:c r="A163" s="22"/>
      <x:c r="B163" s="22"/>
      <x:c r="C163" s="22"/>
      <x:c r="D163" s="28"/>
      <x:c r="E163" s="28"/>
      <x:c r="F163" s="22"/>
      <x:c r="G163" s="22"/>
      <x:c r="H163" s="36" t="n">
        <x:f>IF(A163="",0,IF(F163="active",1,IF(F163="inactive",2,0)))</x:f>
        <x:v>0</x:v>
      </x:c>
      <x:c r="I163" s="36" t="n">
        <x:f>IF(A163="",0,IF(AND(D163&lt;='01_설정'!$B$6,E163&lt;='01_설정'!$B$7),1,0))</x:f>
        <x:v>0</x:v>
      </x:c>
      <x:c r="J163" s="36" t="n">
        <x:f>IF(A163="",0,D163*100000+C163)</x:f>
        <x:v>0</x:v>
      </x:c>
    </x:row>
    <x:row r="164" ht="20" customHeight="1">
      <x:c r="A164" s="22"/>
      <x:c r="B164" s="22"/>
      <x:c r="C164" s="22"/>
      <x:c r="D164" s="28"/>
      <x:c r="E164" s="28"/>
      <x:c r="F164" s="22"/>
      <x:c r="G164" s="22"/>
      <x:c r="H164" s="36" t="n">
        <x:f>IF(A164="",0,IF(F164="active",1,IF(F164="inactive",2,0)))</x:f>
        <x:v>0</x:v>
      </x:c>
      <x:c r="I164" s="36" t="n">
        <x:f>IF(A164="",0,IF(AND(D164&lt;='01_설정'!$B$6,E164&lt;='01_설정'!$B$7),1,0))</x:f>
        <x:v>0</x:v>
      </x:c>
      <x:c r="J164" s="36" t="n">
        <x:f>IF(A164="",0,D164*100000+C164)</x:f>
        <x:v>0</x:v>
      </x:c>
    </x:row>
    <x:row r="165" ht="20" customHeight="1">
      <x:c r="A165" s="22"/>
      <x:c r="B165" s="22"/>
      <x:c r="C165" s="22"/>
      <x:c r="D165" s="28"/>
      <x:c r="E165" s="28"/>
      <x:c r="F165" s="22"/>
      <x:c r="G165" s="22"/>
      <x:c r="H165" s="36" t="n">
        <x:f>IF(A165="",0,IF(F165="active",1,IF(F165="inactive",2,0)))</x:f>
        <x:v>0</x:v>
      </x:c>
      <x:c r="I165" s="36" t="n">
        <x:f>IF(A165="",0,IF(AND(D165&lt;='01_설정'!$B$6,E165&lt;='01_설정'!$B$7),1,0))</x:f>
        <x:v>0</x:v>
      </x:c>
      <x:c r="J165" s="36" t="n">
        <x:f>IF(A165="",0,D165*100000+C165)</x:f>
        <x:v>0</x:v>
      </x:c>
    </x:row>
    <x:row r="166" ht="20" customHeight="1">
      <x:c r="A166" s="22"/>
      <x:c r="B166" s="22"/>
      <x:c r="C166" s="22"/>
      <x:c r="D166" s="28"/>
      <x:c r="E166" s="28"/>
      <x:c r="F166" s="22"/>
      <x:c r="G166" s="22"/>
      <x:c r="H166" s="36" t="n">
        <x:f>IF(A166="",0,IF(F166="active",1,IF(F166="inactive",2,0)))</x:f>
        <x:v>0</x:v>
      </x:c>
      <x:c r="I166" s="36" t="n">
        <x:f>IF(A166="",0,IF(AND(D166&lt;='01_설정'!$B$6,E166&lt;='01_설정'!$B$7),1,0))</x:f>
        <x:v>0</x:v>
      </x:c>
      <x:c r="J166" s="36" t="n">
        <x:f>IF(A166="",0,D166*100000+C166)</x:f>
        <x:v>0</x:v>
      </x:c>
    </x:row>
    <x:row r="167" ht="20" customHeight="1">
      <x:c r="A167" s="22"/>
      <x:c r="B167" s="22"/>
      <x:c r="C167" s="22"/>
      <x:c r="D167" s="28"/>
      <x:c r="E167" s="28"/>
      <x:c r="F167" s="22"/>
      <x:c r="G167" s="22"/>
      <x:c r="H167" s="36" t="n">
        <x:f>IF(A167="",0,IF(F167="active",1,IF(F167="inactive",2,0)))</x:f>
        <x:v>0</x:v>
      </x:c>
      <x:c r="I167" s="36" t="n">
        <x:f>IF(A167="",0,IF(AND(D167&lt;='01_설정'!$B$6,E167&lt;='01_설정'!$B$7),1,0))</x:f>
        <x:v>0</x:v>
      </x:c>
      <x:c r="J167" s="36" t="n">
        <x:f>IF(A167="",0,D167*100000+C167)</x:f>
        <x:v>0</x:v>
      </x:c>
    </x:row>
    <x:row r="168" ht="20" customHeight="1">
      <x:c r="A168" s="22"/>
      <x:c r="B168" s="22"/>
      <x:c r="C168" s="22"/>
      <x:c r="D168" s="28"/>
      <x:c r="E168" s="28"/>
      <x:c r="F168" s="22"/>
      <x:c r="G168" s="22"/>
      <x:c r="H168" s="36" t="n">
        <x:f>IF(A168="",0,IF(F168="active",1,IF(F168="inactive",2,0)))</x:f>
        <x:v>0</x:v>
      </x:c>
      <x:c r="I168" s="36" t="n">
        <x:f>IF(A168="",0,IF(AND(D168&lt;='01_설정'!$B$6,E168&lt;='01_설정'!$B$7),1,0))</x:f>
        <x:v>0</x:v>
      </x:c>
      <x:c r="J168" s="36" t="n">
        <x:f>IF(A168="",0,D168*100000+C168)</x:f>
        <x:v>0</x:v>
      </x:c>
    </x:row>
    <x:row r="169" ht="20" customHeight="1">
      <x:c r="A169" s="22"/>
      <x:c r="B169" s="22"/>
      <x:c r="C169" s="22"/>
      <x:c r="D169" s="28"/>
      <x:c r="E169" s="28"/>
      <x:c r="F169" s="22"/>
      <x:c r="G169" s="22"/>
      <x:c r="H169" s="36" t="n">
        <x:f>IF(A169="",0,IF(F169="active",1,IF(F169="inactive",2,0)))</x:f>
        <x:v>0</x:v>
      </x:c>
      <x:c r="I169" s="36" t="n">
        <x:f>IF(A169="",0,IF(AND(D169&lt;='01_설정'!$B$6,E169&lt;='01_설정'!$B$7),1,0))</x:f>
        <x:v>0</x:v>
      </x:c>
      <x:c r="J169" s="36" t="n">
        <x:f>IF(A169="",0,D169*100000+C169)</x:f>
        <x:v>0</x:v>
      </x:c>
    </x:row>
    <x:row r="170" ht="20" customHeight="1">
      <x:c r="A170" s="22"/>
      <x:c r="B170" s="22"/>
      <x:c r="C170" s="22"/>
      <x:c r="D170" s="28"/>
      <x:c r="E170" s="28"/>
      <x:c r="F170" s="22"/>
      <x:c r="G170" s="22"/>
      <x:c r="H170" s="36" t="n">
        <x:f>IF(A170="",0,IF(F170="active",1,IF(F170="inactive",2,0)))</x:f>
        <x:v>0</x:v>
      </x:c>
      <x:c r="I170" s="36" t="n">
        <x:f>IF(A170="",0,IF(AND(D170&lt;='01_설정'!$B$6,E170&lt;='01_설정'!$B$7),1,0))</x:f>
        <x:v>0</x:v>
      </x:c>
      <x:c r="J170" s="36" t="n">
        <x:f>IF(A170="",0,D170*100000+C170)</x:f>
        <x:v>0</x:v>
      </x:c>
    </x:row>
    <x:row r="171" ht="20" customHeight="1">
      <x:c r="A171" s="22"/>
      <x:c r="B171" s="22"/>
      <x:c r="C171" s="22"/>
      <x:c r="D171" s="28"/>
      <x:c r="E171" s="28"/>
      <x:c r="F171" s="22"/>
      <x:c r="G171" s="22"/>
      <x:c r="H171" s="36" t="n">
        <x:f>IF(A171="",0,IF(F171="active",1,IF(F171="inactive",2,0)))</x:f>
        <x:v>0</x:v>
      </x:c>
      <x:c r="I171" s="36" t="n">
        <x:f>IF(A171="",0,IF(AND(D171&lt;='01_설정'!$B$6,E171&lt;='01_설정'!$B$7),1,0))</x:f>
        <x:v>0</x:v>
      </x:c>
      <x:c r="J171" s="36" t="n">
        <x:f>IF(A171="",0,D171*100000+C171)</x:f>
        <x:v>0</x:v>
      </x:c>
    </x:row>
    <x:row r="172" ht="20" customHeight="1">
      <x:c r="A172" s="22"/>
      <x:c r="B172" s="22"/>
      <x:c r="C172" s="22"/>
      <x:c r="D172" s="28"/>
      <x:c r="E172" s="28"/>
      <x:c r="F172" s="22"/>
      <x:c r="G172" s="22"/>
      <x:c r="H172" s="36" t="n">
        <x:f>IF(A172="",0,IF(F172="active",1,IF(F172="inactive",2,0)))</x:f>
        <x:v>0</x:v>
      </x:c>
      <x:c r="I172" s="36" t="n">
        <x:f>IF(A172="",0,IF(AND(D172&lt;='01_설정'!$B$6,E172&lt;='01_설정'!$B$7),1,0))</x:f>
        <x:v>0</x:v>
      </x:c>
      <x:c r="J172" s="36" t="n">
        <x:f>IF(A172="",0,D172*100000+C172)</x:f>
        <x:v>0</x:v>
      </x:c>
    </x:row>
    <x:row r="173" ht="20" customHeight="1">
      <x:c r="A173" s="22"/>
      <x:c r="B173" s="22"/>
      <x:c r="C173" s="22"/>
      <x:c r="D173" s="28"/>
      <x:c r="E173" s="28"/>
      <x:c r="F173" s="22"/>
      <x:c r="G173" s="22"/>
      <x:c r="H173" s="36" t="n">
        <x:f>IF(A173="",0,IF(F173="active",1,IF(F173="inactive",2,0)))</x:f>
        <x:v>0</x:v>
      </x:c>
      <x:c r="I173" s="36" t="n">
        <x:f>IF(A173="",0,IF(AND(D173&lt;='01_설정'!$B$6,E173&lt;='01_설정'!$B$7),1,0))</x:f>
        <x:v>0</x:v>
      </x:c>
      <x:c r="J173" s="36" t="n">
        <x:f>IF(A173="",0,D173*100000+C173)</x:f>
        <x:v>0</x:v>
      </x:c>
    </x:row>
    <x:row r="174" ht="20" customHeight="1">
      <x:c r="A174" s="22"/>
      <x:c r="B174" s="22"/>
      <x:c r="C174" s="22"/>
      <x:c r="D174" s="28"/>
      <x:c r="E174" s="28"/>
      <x:c r="F174" s="22"/>
      <x:c r="G174" s="22"/>
      <x:c r="H174" s="36" t="n">
        <x:f>IF(A174="",0,IF(F174="active",1,IF(F174="inactive",2,0)))</x:f>
        <x:v>0</x:v>
      </x:c>
      <x:c r="I174" s="36" t="n">
        <x:f>IF(A174="",0,IF(AND(D174&lt;='01_설정'!$B$6,E174&lt;='01_설정'!$B$7),1,0))</x:f>
        <x:v>0</x:v>
      </x:c>
      <x:c r="J174" s="36" t="n">
        <x:f>IF(A174="",0,D174*100000+C174)</x:f>
        <x:v>0</x:v>
      </x:c>
    </x:row>
    <x:row r="175" ht="20" customHeight="1">
      <x:c r="A175" s="22"/>
      <x:c r="B175" s="22"/>
      <x:c r="C175" s="22"/>
      <x:c r="D175" s="28"/>
      <x:c r="E175" s="28"/>
      <x:c r="F175" s="22"/>
      <x:c r="G175" s="22"/>
      <x:c r="H175" s="36" t="n">
        <x:f>IF(A175="",0,IF(F175="active",1,IF(F175="inactive",2,0)))</x:f>
        <x:v>0</x:v>
      </x:c>
      <x:c r="I175" s="36" t="n">
        <x:f>IF(A175="",0,IF(AND(D175&lt;='01_설정'!$B$6,E175&lt;='01_설정'!$B$7),1,0))</x:f>
        <x:v>0</x:v>
      </x:c>
      <x:c r="J175" s="36" t="n">
        <x:f>IF(A175="",0,D175*100000+C175)</x:f>
        <x:v>0</x:v>
      </x:c>
    </x:row>
    <x:row r="176" ht="20" customHeight="1">
      <x:c r="A176" s="22"/>
      <x:c r="B176" s="22"/>
      <x:c r="C176" s="22"/>
      <x:c r="D176" s="28"/>
      <x:c r="E176" s="28"/>
      <x:c r="F176" s="22"/>
      <x:c r="G176" s="22"/>
      <x:c r="H176" s="36" t="n">
        <x:f>IF(A176="",0,IF(F176="active",1,IF(F176="inactive",2,0)))</x:f>
        <x:v>0</x:v>
      </x:c>
      <x:c r="I176" s="36" t="n">
        <x:f>IF(A176="",0,IF(AND(D176&lt;='01_설정'!$B$6,E176&lt;='01_설정'!$B$7),1,0))</x:f>
        <x:v>0</x:v>
      </x:c>
      <x:c r="J176" s="36" t="n">
        <x:f>IF(A176="",0,D176*100000+C176)</x:f>
        <x:v>0</x:v>
      </x:c>
    </x:row>
    <x:row r="177" ht="20" customHeight="1">
      <x:c r="A177" s="22"/>
      <x:c r="B177" s="22"/>
      <x:c r="C177" s="22"/>
      <x:c r="D177" s="28"/>
      <x:c r="E177" s="28"/>
      <x:c r="F177" s="22"/>
      <x:c r="G177" s="22"/>
      <x:c r="H177" s="36" t="n">
        <x:f>IF(A177="",0,IF(F177="active",1,IF(F177="inactive",2,0)))</x:f>
        <x:v>0</x:v>
      </x:c>
      <x:c r="I177" s="36" t="n">
        <x:f>IF(A177="",0,IF(AND(D177&lt;='01_설정'!$B$6,E177&lt;='01_설정'!$B$7),1,0))</x:f>
        <x:v>0</x:v>
      </x:c>
      <x:c r="J177" s="36" t="n">
        <x:f>IF(A177="",0,D177*100000+C177)</x:f>
        <x:v>0</x:v>
      </x:c>
    </x:row>
    <x:row r="178" ht="20" customHeight="1">
      <x:c r="A178" s="22"/>
      <x:c r="B178" s="22"/>
      <x:c r="C178" s="22"/>
      <x:c r="D178" s="28"/>
      <x:c r="E178" s="28"/>
      <x:c r="F178" s="22"/>
      <x:c r="G178" s="22"/>
      <x:c r="H178" s="36" t="n">
        <x:f>IF(A178="",0,IF(F178="active",1,IF(F178="inactive",2,0)))</x:f>
        <x:v>0</x:v>
      </x:c>
      <x:c r="I178" s="36" t="n">
        <x:f>IF(A178="",0,IF(AND(D178&lt;='01_설정'!$B$6,E178&lt;='01_설정'!$B$7),1,0))</x:f>
        <x:v>0</x:v>
      </x:c>
      <x:c r="J178" s="36" t="n">
        <x:f>IF(A178="",0,D178*100000+C178)</x:f>
        <x:v>0</x:v>
      </x:c>
    </x:row>
    <x:row r="179" ht="20" customHeight="1">
      <x:c r="A179" s="22"/>
      <x:c r="B179" s="22"/>
      <x:c r="C179" s="22"/>
      <x:c r="D179" s="28"/>
      <x:c r="E179" s="28"/>
      <x:c r="F179" s="22"/>
      <x:c r="G179" s="22"/>
      <x:c r="H179" s="36" t="n">
        <x:f>IF(A179="",0,IF(F179="active",1,IF(F179="inactive",2,0)))</x:f>
        <x:v>0</x:v>
      </x:c>
      <x:c r="I179" s="36" t="n">
        <x:f>IF(A179="",0,IF(AND(D179&lt;='01_설정'!$B$6,E179&lt;='01_설정'!$B$7),1,0))</x:f>
        <x:v>0</x:v>
      </x:c>
      <x:c r="J179" s="36" t="n">
        <x:f>IF(A179="",0,D179*100000+C179)</x:f>
        <x:v>0</x:v>
      </x:c>
    </x:row>
    <x:row r="180" ht="20" customHeight="1">
      <x:c r="A180" s="22"/>
      <x:c r="B180" s="22"/>
      <x:c r="C180" s="22"/>
      <x:c r="D180" s="28"/>
      <x:c r="E180" s="28"/>
      <x:c r="F180" s="22"/>
      <x:c r="G180" s="22"/>
      <x:c r="H180" s="36" t="n">
        <x:f>IF(A180="",0,IF(F180="active",1,IF(F180="inactive",2,0)))</x:f>
        <x:v>0</x:v>
      </x:c>
      <x:c r="I180" s="36" t="n">
        <x:f>IF(A180="",0,IF(AND(D180&lt;='01_설정'!$B$6,E180&lt;='01_설정'!$B$7),1,0))</x:f>
        <x:v>0</x:v>
      </x:c>
      <x:c r="J180" s="36" t="n">
        <x:f>IF(A180="",0,D180*100000+C180)</x:f>
        <x:v>0</x:v>
      </x:c>
    </x:row>
    <x:row r="181" ht="20" customHeight="1">
      <x:c r="A181" s="22"/>
      <x:c r="B181" s="22"/>
      <x:c r="C181" s="22"/>
      <x:c r="D181" s="28"/>
      <x:c r="E181" s="28"/>
      <x:c r="F181" s="22"/>
      <x:c r="G181" s="22"/>
      <x:c r="H181" s="36" t="n">
        <x:f>IF(A181="",0,IF(F181="active",1,IF(F181="inactive",2,0)))</x:f>
        <x:v>0</x:v>
      </x:c>
      <x:c r="I181" s="36" t="n">
        <x:f>IF(A181="",0,IF(AND(D181&lt;='01_설정'!$B$6,E181&lt;='01_설정'!$B$7),1,0))</x:f>
        <x:v>0</x:v>
      </x:c>
      <x:c r="J181" s="36" t="n">
        <x:f>IF(A181="",0,D181*100000+C181)</x:f>
        <x:v>0</x:v>
      </x:c>
    </x:row>
    <x:row r="182" ht="20" customHeight="1">
      <x:c r="A182" s="22"/>
      <x:c r="B182" s="22"/>
      <x:c r="C182" s="22"/>
      <x:c r="D182" s="28"/>
      <x:c r="E182" s="28"/>
      <x:c r="F182" s="22"/>
      <x:c r="G182" s="22"/>
      <x:c r="H182" s="36" t="n">
        <x:f>IF(A182="",0,IF(F182="active",1,IF(F182="inactive",2,0)))</x:f>
        <x:v>0</x:v>
      </x:c>
      <x:c r="I182" s="36" t="n">
        <x:f>IF(A182="",0,IF(AND(D182&lt;='01_설정'!$B$6,E182&lt;='01_설정'!$B$7),1,0))</x:f>
        <x:v>0</x:v>
      </x:c>
      <x:c r="J182" s="36" t="n">
        <x:f>IF(A182="",0,D182*100000+C182)</x:f>
        <x:v>0</x:v>
      </x:c>
    </x:row>
    <x:row r="183" ht="20" customHeight="1">
      <x:c r="A183" s="22"/>
      <x:c r="B183" s="22"/>
      <x:c r="C183" s="22"/>
      <x:c r="D183" s="28"/>
      <x:c r="E183" s="28"/>
      <x:c r="F183" s="22"/>
      <x:c r="G183" s="22"/>
      <x:c r="H183" s="36" t="n">
        <x:f>IF(A183="",0,IF(F183="active",1,IF(F183="inactive",2,0)))</x:f>
        <x:v>0</x:v>
      </x:c>
      <x:c r="I183" s="36" t="n">
        <x:f>IF(A183="",0,IF(AND(D183&lt;='01_설정'!$B$6,E183&lt;='01_설정'!$B$7),1,0))</x:f>
        <x:v>0</x:v>
      </x:c>
      <x:c r="J183" s="36" t="n">
        <x:f>IF(A183="",0,D183*100000+C183)</x:f>
        <x:v>0</x:v>
      </x:c>
    </x:row>
    <x:row r="184" ht="20" customHeight="1">
      <x:c r="A184" s="22"/>
      <x:c r="B184" s="22"/>
      <x:c r="C184" s="22"/>
      <x:c r="D184" s="28"/>
      <x:c r="E184" s="28"/>
      <x:c r="F184" s="22"/>
      <x:c r="G184" s="22"/>
      <x:c r="H184" s="36" t="n">
        <x:f>IF(A184="",0,IF(F184="active",1,IF(F184="inactive",2,0)))</x:f>
        <x:v>0</x:v>
      </x:c>
      <x:c r="I184" s="36" t="n">
        <x:f>IF(A184="",0,IF(AND(D184&lt;='01_설정'!$B$6,E184&lt;='01_설정'!$B$7),1,0))</x:f>
        <x:v>0</x:v>
      </x:c>
      <x:c r="J184" s="36" t="n">
        <x:f>IF(A184="",0,D184*100000+C184)</x:f>
        <x:v>0</x:v>
      </x:c>
    </x:row>
    <x:row r="185" ht="20" customHeight="1">
      <x:c r="A185" s="22"/>
      <x:c r="B185" s="22"/>
      <x:c r="C185" s="22"/>
      <x:c r="D185" s="28"/>
      <x:c r="E185" s="28"/>
      <x:c r="F185" s="22"/>
      <x:c r="G185" s="22"/>
      <x:c r="H185" s="36" t="n">
        <x:f>IF(A185="",0,IF(F185="active",1,IF(F185="inactive",2,0)))</x:f>
        <x:v>0</x:v>
      </x:c>
      <x:c r="I185" s="36" t="n">
        <x:f>IF(A185="",0,IF(AND(D185&lt;='01_설정'!$B$6,E185&lt;='01_설정'!$B$7),1,0))</x:f>
        <x:v>0</x:v>
      </x:c>
      <x:c r="J185" s="36" t="n">
        <x:f>IF(A185="",0,D185*100000+C185)</x:f>
        <x:v>0</x:v>
      </x:c>
    </x:row>
    <x:row r="186" ht="20" customHeight="1">
      <x:c r="A186" s="22"/>
      <x:c r="B186" s="22"/>
      <x:c r="C186" s="22"/>
      <x:c r="D186" s="28"/>
      <x:c r="E186" s="28"/>
      <x:c r="F186" s="22"/>
      <x:c r="G186" s="22"/>
      <x:c r="H186" s="36" t="n">
        <x:f>IF(A186="",0,IF(F186="active",1,IF(F186="inactive",2,0)))</x:f>
        <x:v>0</x:v>
      </x:c>
      <x:c r="I186" s="36" t="n">
        <x:f>IF(A186="",0,IF(AND(D186&lt;='01_설정'!$B$6,E186&lt;='01_설정'!$B$7),1,0))</x:f>
        <x:v>0</x:v>
      </x:c>
      <x:c r="J186" s="36" t="n">
        <x:f>IF(A186="",0,D186*100000+C186)</x:f>
        <x:v>0</x:v>
      </x:c>
    </x:row>
    <x:row r="187" ht="20" customHeight="1">
      <x:c r="A187" s="22"/>
      <x:c r="B187" s="22"/>
      <x:c r="C187" s="22"/>
      <x:c r="D187" s="28"/>
      <x:c r="E187" s="28"/>
      <x:c r="F187" s="22"/>
      <x:c r="G187" s="22"/>
      <x:c r="H187" s="36" t="n">
        <x:f>IF(A187="",0,IF(F187="active",1,IF(F187="inactive",2,0)))</x:f>
        <x:v>0</x:v>
      </x:c>
      <x:c r="I187" s="36" t="n">
        <x:f>IF(A187="",0,IF(AND(D187&lt;='01_설정'!$B$6,E187&lt;='01_설정'!$B$7),1,0))</x:f>
        <x:v>0</x:v>
      </x:c>
      <x:c r="J187" s="36" t="n">
        <x:f>IF(A187="",0,D187*100000+C187)</x:f>
        <x:v>0</x:v>
      </x:c>
    </x:row>
    <x:row r="188" ht="20" customHeight="1">
      <x:c r="A188" s="22"/>
      <x:c r="B188" s="22"/>
      <x:c r="C188" s="22"/>
      <x:c r="D188" s="28"/>
      <x:c r="E188" s="28"/>
      <x:c r="F188" s="22"/>
      <x:c r="G188" s="22"/>
      <x:c r="H188" s="36" t="n">
        <x:f>IF(A188="",0,IF(F188="active",1,IF(F188="inactive",2,0)))</x:f>
        <x:v>0</x:v>
      </x:c>
      <x:c r="I188" s="36" t="n">
        <x:f>IF(A188="",0,IF(AND(D188&lt;='01_설정'!$B$6,E188&lt;='01_설정'!$B$7),1,0))</x:f>
        <x:v>0</x:v>
      </x:c>
      <x:c r="J188" s="36" t="n">
        <x:f>IF(A188="",0,D188*100000+C188)</x:f>
        <x:v>0</x:v>
      </x:c>
    </x:row>
    <x:row r="189" ht="20" customHeight="1">
      <x:c r="A189" s="22"/>
      <x:c r="B189" s="22"/>
      <x:c r="C189" s="22"/>
      <x:c r="D189" s="28"/>
      <x:c r="E189" s="28"/>
      <x:c r="F189" s="22"/>
      <x:c r="G189" s="22"/>
      <x:c r="H189" s="36" t="n">
        <x:f>IF(A189="",0,IF(F189="active",1,IF(F189="inactive",2,0)))</x:f>
        <x:v>0</x:v>
      </x:c>
      <x:c r="I189" s="36" t="n">
        <x:f>IF(A189="",0,IF(AND(D189&lt;='01_설정'!$B$6,E189&lt;='01_설정'!$B$7),1,0))</x:f>
        <x:v>0</x:v>
      </x:c>
      <x:c r="J189" s="36" t="n">
        <x:f>IF(A189="",0,D189*100000+C189)</x:f>
        <x:v>0</x:v>
      </x:c>
    </x:row>
    <x:row r="190" ht="20" customHeight="1">
      <x:c r="A190" s="22"/>
      <x:c r="B190" s="22"/>
      <x:c r="C190" s="22"/>
      <x:c r="D190" s="28"/>
      <x:c r="E190" s="28"/>
      <x:c r="F190" s="22"/>
      <x:c r="G190" s="22"/>
      <x:c r="H190" s="36" t="n">
        <x:f>IF(A190="",0,IF(F190="active",1,IF(F190="inactive",2,0)))</x:f>
        <x:v>0</x:v>
      </x:c>
      <x:c r="I190" s="36" t="n">
        <x:f>IF(A190="",0,IF(AND(D190&lt;='01_설정'!$B$6,E190&lt;='01_설정'!$B$7),1,0))</x:f>
        <x:v>0</x:v>
      </x:c>
      <x:c r="J190" s="36" t="n">
        <x:f>IF(A190="",0,D190*100000+C190)</x:f>
        <x:v>0</x:v>
      </x:c>
    </x:row>
    <x:row r="191" ht="20" customHeight="1">
      <x:c r="A191" s="22"/>
      <x:c r="B191" s="22"/>
      <x:c r="C191" s="22"/>
      <x:c r="D191" s="28"/>
      <x:c r="E191" s="28"/>
      <x:c r="F191" s="22"/>
      <x:c r="G191" s="22"/>
      <x:c r="H191" s="36" t="n">
        <x:f>IF(A191="",0,IF(F191="active",1,IF(F191="inactive",2,0)))</x:f>
        <x:v>0</x:v>
      </x:c>
      <x:c r="I191" s="36" t="n">
        <x:f>IF(A191="",0,IF(AND(D191&lt;='01_설정'!$B$6,E191&lt;='01_설정'!$B$7),1,0))</x:f>
        <x:v>0</x:v>
      </x:c>
      <x:c r="J191" s="36" t="n">
        <x:f>IF(A191="",0,D191*100000+C191)</x:f>
        <x:v>0</x:v>
      </x:c>
    </x:row>
    <x:row r="192" ht="20" customHeight="1">
      <x:c r="A192" s="22"/>
      <x:c r="B192" s="22"/>
      <x:c r="C192" s="22"/>
      <x:c r="D192" s="28"/>
      <x:c r="E192" s="28"/>
      <x:c r="F192" s="22"/>
      <x:c r="G192" s="22"/>
      <x:c r="H192" s="36" t="n">
        <x:f>IF(A192="",0,IF(F192="active",1,IF(F192="inactive",2,0)))</x:f>
        <x:v>0</x:v>
      </x:c>
      <x:c r="I192" s="36" t="n">
        <x:f>IF(A192="",0,IF(AND(D192&lt;='01_설정'!$B$6,E192&lt;='01_설정'!$B$7),1,0))</x:f>
        <x:v>0</x:v>
      </x:c>
      <x:c r="J192" s="36" t="n">
        <x:f>IF(A192="",0,D192*100000+C192)</x:f>
        <x:v>0</x:v>
      </x:c>
    </x:row>
    <x:row r="193" ht="20" customHeight="1">
      <x:c r="A193" s="22"/>
      <x:c r="B193" s="22"/>
      <x:c r="C193" s="22"/>
      <x:c r="D193" s="28"/>
      <x:c r="E193" s="28"/>
      <x:c r="F193" s="22"/>
      <x:c r="G193" s="22"/>
      <x:c r="H193" s="36" t="n">
        <x:f>IF(A193="",0,IF(F193="active",1,IF(F193="inactive",2,0)))</x:f>
        <x:v>0</x:v>
      </x:c>
      <x:c r="I193" s="36" t="n">
        <x:f>IF(A193="",0,IF(AND(D193&lt;='01_설정'!$B$6,E193&lt;='01_설정'!$B$7),1,0))</x:f>
        <x:v>0</x:v>
      </x:c>
      <x:c r="J193" s="36" t="n">
        <x:f>IF(A193="",0,D193*100000+C193)</x:f>
        <x:v>0</x:v>
      </x:c>
    </x:row>
    <x:row r="194" ht="20" customHeight="1">
      <x:c r="A194" s="22"/>
      <x:c r="B194" s="22"/>
      <x:c r="C194" s="22"/>
      <x:c r="D194" s="28"/>
      <x:c r="E194" s="28"/>
      <x:c r="F194" s="22"/>
      <x:c r="G194" s="22"/>
      <x:c r="H194" s="36" t="n">
        <x:f>IF(A194="",0,IF(F194="active",1,IF(F194="inactive",2,0)))</x:f>
        <x:v>0</x:v>
      </x:c>
      <x:c r="I194" s="36" t="n">
        <x:f>IF(A194="",0,IF(AND(D194&lt;='01_설정'!$B$6,E194&lt;='01_설정'!$B$7),1,0))</x:f>
        <x:v>0</x:v>
      </x:c>
      <x:c r="J194" s="36" t="n">
        <x:f>IF(A194="",0,D194*100000+C194)</x:f>
        <x:v>0</x:v>
      </x:c>
    </x:row>
    <x:row r="195" ht="20" customHeight="1">
      <x:c r="A195" s="22"/>
      <x:c r="B195" s="22"/>
      <x:c r="C195" s="22"/>
      <x:c r="D195" s="28"/>
      <x:c r="E195" s="28"/>
      <x:c r="F195" s="22"/>
      <x:c r="G195" s="22"/>
      <x:c r="H195" s="36" t="n">
        <x:f>IF(A195="",0,IF(F195="active",1,IF(F195="inactive",2,0)))</x:f>
        <x:v>0</x:v>
      </x:c>
      <x:c r="I195" s="36" t="n">
        <x:f>IF(A195="",0,IF(AND(D195&lt;='01_설정'!$B$6,E195&lt;='01_설정'!$B$7),1,0))</x:f>
        <x:v>0</x:v>
      </x:c>
      <x:c r="J195" s="36" t="n">
        <x:f>IF(A195="",0,D195*100000+C195)</x:f>
        <x:v>0</x:v>
      </x:c>
    </x:row>
    <x:row r="196" ht="20" customHeight="1">
      <x:c r="A196" s="22"/>
      <x:c r="B196" s="22"/>
      <x:c r="C196" s="22"/>
      <x:c r="D196" s="28"/>
      <x:c r="E196" s="28"/>
      <x:c r="F196" s="22"/>
      <x:c r="G196" s="22"/>
      <x:c r="H196" s="36" t="n">
        <x:f>IF(A196="",0,IF(F196="active",1,IF(F196="inactive",2,0)))</x:f>
        <x:v>0</x:v>
      </x:c>
      <x:c r="I196" s="36" t="n">
        <x:f>IF(A196="",0,IF(AND(D196&lt;='01_설정'!$B$6,E196&lt;='01_설정'!$B$7),1,0))</x:f>
        <x:v>0</x:v>
      </x:c>
      <x:c r="J196" s="36" t="n">
        <x:f>IF(A196="",0,D196*100000+C196)</x:f>
        <x:v>0</x:v>
      </x:c>
    </x:row>
    <x:row r="197" ht="20" customHeight="1">
      <x:c r="A197" s="22"/>
      <x:c r="B197" s="22"/>
      <x:c r="C197" s="22"/>
      <x:c r="D197" s="28"/>
      <x:c r="E197" s="28"/>
      <x:c r="F197" s="22"/>
      <x:c r="G197" s="22"/>
      <x:c r="H197" s="36" t="n">
        <x:f>IF(A197="",0,IF(F197="active",1,IF(F197="inactive",2,0)))</x:f>
        <x:v>0</x:v>
      </x:c>
      <x:c r="I197" s="36" t="n">
        <x:f>IF(A197="",0,IF(AND(D197&lt;='01_설정'!$B$6,E197&lt;='01_설정'!$B$7),1,0))</x:f>
        <x:v>0</x:v>
      </x:c>
      <x:c r="J197" s="36" t="n">
        <x:f>IF(A197="",0,D197*100000+C197)</x:f>
        <x:v>0</x:v>
      </x:c>
    </x:row>
    <x:row r="198" ht="20" customHeight="1">
      <x:c r="A198" s="22"/>
      <x:c r="B198" s="22"/>
      <x:c r="C198" s="22"/>
      <x:c r="D198" s="28"/>
      <x:c r="E198" s="28"/>
      <x:c r="F198" s="22"/>
      <x:c r="G198" s="22"/>
      <x:c r="H198" s="36" t="n">
        <x:f>IF(A198="",0,IF(F198="active",1,IF(F198="inactive",2,0)))</x:f>
        <x:v>0</x:v>
      </x:c>
      <x:c r="I198" s="36" t="n">
        <x:f>IF(A198="",0,IF(AND(D198&lt;='01_설정'!$B$6,E198&lt;='01_설정'!$B$7),1,0))</x:f>
        <x:v>0</x:v>
      </x:c>
      <x:c r="J198" s="36" t="n">
        <x:f>IF(A198="",0,D198*100000+C198)</x:f>
        <x:v>0</x:v>
      </x:c>
    </x:row>
    <x:row r="199" ht="20" customHeight="1">
      <x:c r="A199" s="22"/>
      <x:c r="B199" s="22"/>
      <x:c r="C199" s="22"/>
      <x:c r="D199" s="28"/>
      <x:c r="E199" s="28"/>
      <x:c r="F199" s="22"/>
      <x:c r="G199" s="22"/>
      <x:c r="H199" s="36" t="n">
        <x:f>IF(A199="",0,IF(F199="active",1,IF(F199="inactive",2,0)))</x:f>
        <x:v>0</x:v>
      </x:c>
      <x:c r="I199" s="36" t="n">
        <x:f>IF(A199="",0,IF(AND(D199&lt;='01_설정'!$B$6,E199&lt;='01_설정'!$B$7),1,0))</x:f>
        <x:v>0</x:v>
      </x:c>
      <x:c r="J199" s="36" t="n">
        <x:f>IF(A199="",0,D199*100000+C199)</x:f>
        <x:v>0</x:v>
      </x:c>
    </x:row>
    <x:row r="200" ht="20" customHeight="1">
      <x:c r="A200" s="22"/>
      <x:c r="B200" s="22"/>
      <x:c r="C200" s="22"/>
      <x:c r="D200" s="28"/>
      <x:c r="E200" s="28"/>
      <x:c r="F200" s="22"/>
      <x:c r="G200" s="22"/>
      <x:c r="H200" s="36" t="n">
        <x:f>IF(A200="",0,IF(F200="active",1,IF(F200="inactive",2,0)))</x:f>
        <x:v>0</x:v>
      </x:c>
      <x:c r="I200" s="36" t="n">
        <x:f>IF(A200="",0,IF(AND(D200&lt;='01_설정'!$B$6,E200&lt;='01_설정'!$B$7),1,0))</x:f>
        <x:v>0</x:v>
      </x:c>
      <x:c r="J200" s="36" t="n">
        <x:f>IF(A200="",0,D200*100000+C200)</x:f>
        <x:v>0</x:v>
      </x:c>
    </x:row>
    <x:row r="201" ht="20" customHeight="1">
      <x:c r="A201" s="22"/>
      <x:c r="B201" s="22"/>
      <x:c r="C201" s="22"/>
      <x:c r="D201" s="28"/>
      <x:c r="E201" s="28"/>
      <x:c r="F201" s="22"/>
      <x:c r="G201" s="22"/>
      <x:c r="H201" s="36" t="n">
        <x:f>IF(A201="",0,IF(F201="active",1,IF(F201="inactive",2,0)))</x:f>
        <x:v>0</x:v>
      </x:c>
      <x:c r="I201" s="36" t="n">
        <x:f>IF(A201="",0,IF(AND(D201&lt;='01_설정'!$B$6,E201&lt;='01_설정'!$B$7),1,0))</x:f>
        <x:v>0</x:v>
      </x:c>
      <x:c r="J201" s="36" t="n">
        <x:f>IF(A201="",0,D201*100000+C201)</x:f>
        <x:v>0</x:v>
      </x:c>
    </x:row>
    <x:row r="202" ht="20" customHeight="1">
      <x:c r="A202" s="22"/>
      <x:c r="B202" s="22"/>
      <x:c r="C202" s="22"/>
      <x:c r="D202" s="28"/>
      <x:c r="E202" s="28"/>
      <x:c r="F202" s="22"/>
      <x:c r="G202" s="22"/>
      <x:c r="H202" s="36" t="n">
        <x:f>IF(A202="",0,IF(F202="active",1,IF(F202="inactive",2,0)))</x:f>
        <x:v>0</x:v>
      </x:c>
      <x:c r="I202" s="36" t="n">
        <x:f>IF(A202="",0,IF(AND(D202&lt;='01_설정'!$B$6,E202&lt;='01_설정'!$B$7),1,0))</x:f>
        <x:v>0</x:v>
      </x:c>
      <x:c r="J202" s="36" t="n">
        <x:f>IF(A202="",0,D202*100000+C202)</x:f>
        <x:v>0</x:v>
      </x:c>
    </x:row>
    <x:row r="203" ht="20" customHeight="1">
      <x:c r="A203" s="22"/>
      <x:c r="B203" s="22"/>
      <x:c r="C203" s="22"/>
      <x:c r="D203" s="28"/>
      <x:c r="E203" s="28"/>
      <x:c r="F203" s="22"/>
      <x:c r="G203" s="22"/>
      <x:c r="H203" s="36" t="n">
        <x:f>IF(A203="",0,IF(F203="active",1,IF(F203="inactive",2,0)))</x:f>
        <x:v>0</x:v>
      </x:c>
      <x:c r="I203" s="36" t="n">
        <x:f>IF(A203="",0,IF(AND(D203&lt;='01_설정'!$B$6,E203&lt;='01_설정'!$B$7),1,0))</x:f>
        <x:v>0</x:v>
      </x:c>
      <x:c r="J203" s="36" t="n">
        <x:f>IF(A203="",0,D203*100000+C203)</x:f>
        <x:v>0</x:v>
      </x:c>
    </x:row>
    <x:row r="204" ht="20" customHeight="1">
      <x:c r="A204" s="22"/>
      <x:c r="B204" s="22"/>
      <x:c r="C204" s="22"/>
      <x:c r="D204" s="28"/>
      <x:c r="E204" s="28"/>
      <x:c r="F204" s="22"/>
      <x:c r="G204" s="22"/>
      <x:c r="H204" s="36" t="n">
        <x:f>IF(A204="",0,IF(F204="active",1,IF(F204="inactive",2,0)))</x:f>
        <x:v>0</x:v>
      </x:c>
      <x:c r="I204" s="36" t="n">
        <x:f>IF(A204="",0,IF(AND(D204&lt;='01_설정'!$B$6,E204&lt;='01_설정'!$B$7),1,0))</x:f>
        <x:v>0</x:v>
      </x:c>
      <x:c r="J204" s="36" t="n">
        <x:f>IF(A204="",0,D204*100000+C204)</x:f>
        <x:v>0</x:v>
      </x:c>
    </x:row>
    <x:row r="205" ht="20" customHeight="1">
      <x:c r="A205" s="22"/>
      <x:c r="B205" s="22"/>
      <x:c r="C205" s="22"/>
      <x:c r="D205" s="28"/>
      <x:c r="E205" s="28"/>
      <x:c r="F205" s="22"/>
      <x:c r="G205" s="22"/>
      <x:c r="H205" s="36" t="n">
        <x:f>IF(A205="",0,IF(F205="active",1,IF(F205="inactive",2,0)))</x:f>
        <x:v>0</x:v>
      </x:c>
      <x:c r="I205" s="36" t="n">
        <x:f>IF(A205="",0,IF(AND(D205&lt;='01_설정'!$B$6,E205&lt;='01_설정'!$B$7),1,0))</x:f>
        <x:v>0</x:v>
      </x:c>
      <x:c r="J205" s="36" t="n">
        <x:f>IF(A205="",0,D205*100000+C205)</x:f>
        <x:v>0</x:v>
      </x:c>
    </x:row>
  </x:sheetData>
  <x:mergeCells>
    <x:mergeCell ref="A1:J1"/>
    <x:mergeCell ref="A2:J3"/>
  </x:mergeCells>
  <x:dataValidations count="1">
    <x:dataValidation type="list" sqref="F6:F205">
      <x:formula1>"active,inactive,unknown"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effa9c4110452f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7" t="str">
        <x:v>sources | 입력 원장</x:v>
      </x:c>
      <x:c r="B1" s="7"/>
      <x:c r="C1" s="7"/>
      <x:c r="D1" s="7"/>
      <x:c r="E1" s="7"/>
      <x:c r="F1" s="7"/>
      <x:c r="G1" s="7"/>
    </x:row>
    <x:row r="2" ht="21" customHeight="1">
      <x:c r="A2" s="15" t="str">
        <x:v>5행 영문 헤더·파란 글씨 열=JSON 교환 입력. 오른쪽 회색 계산열 수정 금지. 새 자료는 준비된 빈 행에 입력; 용량 초과 시 수식 범위 확장 필요.</x:v>
      </x:c>
      <x:c r="B2" s="15"/>
      <x:c r="C2" s="15"/>
      <x:c r="D2" s="15"/>
      <x:c r="E2" s="15"/>
      <x:c r="F2" s="15"/>
      <x:c r="G2" s="15"/>
    </x:row>
    <x:row r="3" ht="21" customHeight="1">
      <x:c r="A3" s="15"/>
      <x:c r="B3" s="15"/>
      <x:c r="C3" s="15"/>
      <x:c r="D3" s="15"/>
      <x:c r="E3" s="15"/>
      <x:c r="F3" s="15"/>
      <x:c r="G3" s="15"/>
    </x:row>
    <x:row r="4" ht="21" customHeight="1">
      <x:c r="A4" s="2"/>
      <x:c r="B4" s="2"/>
      <x:c r="C4" s="2"/>
      <x:c r="D4" s="2"/>
      <x:c r="E4" s="2"/>
      <x:c r="F4" s="2"/>
      <x:c r="G4" s="2"/>
    </x:row>
    <x:row r="5" ht="30" customHeight="1">
      <x:c r="A5" s="33" t="str">
        <x:v>id</x:v>
      </x:c>
      <x:c r="B5" s="33" t="str">
        <x:v>label</x:v>
      </x:c>
      <x:c r="C5" s="33" t="str">
        <x:v>url</x:v>
      </x:c>
      <x:c r="D5" s="33" t="str">
        <x:v>kind</x:v>
      </x:c>
      <x:c r="E5" s="33" t="str">
        <x:v>access</x:v>
      </x:c>
      <x:c r="F5" s="33" t="str">
        <x:v>retrieved_on</x:v>
      </x:c>
      <x:c r="G5" s="33" t="str">
        <x:v>file_sha256</x:v>
      </x:c>
    </x:row>
    <x:row r="6" ht="20" customHeight="1">
      <x:c r="A6" s="22" t="str">
        <x:v>DEMO-PUBLIC</x:v>
      </x:c>
      <x:c r="B6" s="26" t="str">
        <x:v>합성 예시 공개자료</x:v>
      </x:c>
      <x:c r="C6" s="26"/>
      <x:c r="D6" s="22" t="str">
        <x:v>demo</x:v>
      </x:c>
      <x:c r="E6" s="22" t="str">
        <x:v>public</x:v>
      </x:c>
      <x:c r="F6" s="28" t="n">
        <x:v>46308</x:v>
      </x:c>
      <x:c r="G6" s="22"/>
    </x:row>
    <x:row r="7" ht="20" customHeight="1">
      <x:c r="A7" s="22" t="str">
        <x:v>DEMO-INTERNAL</x:v>
      </x:c>
      <x:c r="B7" s="26" t="str">
        <x:v>합성 예시 내부 검토대장</x:v>
      </x:c>
      <x:c r="C7" s="26"/>
      <x:c r="D7" s="22" t="str">
        <x:v>demo</x:v>
      </x:c>
      <x:c r="E7" s="22" t="str">
        <x:v>internal</x:v>
      </x:c>
      <x:c r="F7" s="28" t="n">
        <x:v>46308</x:v>
      </x:c>
      <x:c r="G7" s="22"/>
    </x:row>
    <x:row r="8" ht="20" customHeight="1">
      <x:c r="A8" s="22"/>
      <x:c r="B8" s="26"/>
      <x:c r="C8" s="26"/>
      <x:c r="D8" s="22"/>
      <x:c r="E8" s="22"/>
      <x:c r="F8" s="28"/>
      <x:c r="G8" s="22"/>
    </x:row>
    <x:row r="9" ht="20" customHeight="1">
      <x:c r="A9" s="22"/>
      <x:c r="B9" s="26"/>
      <x:c r="C9" s="26"/>
      <x:c r="D9" s="22"/>
      <x:c r="E9" s="22"/>
      <x:c r="F9" s="28"/>
      <x:c r="G9" s="22"/>
    </x:row>
    <x:row r="10" ht="20" customHeight="1">
      <x:c r="A10" s="22"/>
      <x:c r="B10" s="26"/>
      <x:c r="C10" s="26"/>
      <x:c r="D10" s="22"/>
      <x:c r="E10" s="22"/>
      <x:c r="F10" s="28"/>
      <x:c r="G10" s="22"/>
    </x:row>
    <x:row r="11" ht="20" customHeight="1">
      <x:c r="A11" s="22"/>
      <x:c r="B11" s="26"/>
      <x:c r="C11" s="26"/>
      <x:c r="D11" s="22"/>
      <x:c r="E11" s="22"/>
      <x:c r="F11" s="28"/>
      <x:c r="G11" s="22"/>
    </x:row>
    <x:row r="12" ht="20" customHeight="1">
      <x:c r="A12" s="22"/>
      <x:c r="B12" s="26"/>
      <x:c r="C12" s="26"/>
      <x:c r="D12" s="22"/>
      <x:c r="E12" s="22"/>
      <x:c r="F12" s="28"/>
      <x:c r="G12" s="22"/>
    </x:row>
    <x:row r="13" ht="20" customHeight="1">
      <x:c r="A13" s="22"/>
      <x:c r="B13" s="26"/>
      <x:c r="C13" s="26"/>
      <x:c r="D13" s="22"/>
      <x:c r="E13" s="22"/>
      <x:c r="F13" s="28"/>
      <x:c r="G13" s="22"/>
    </x:row>
    <x:row r="14" ht="20" customHeight="1">
      <x:c r="A14" s="22"/>
      <x:c r="B14" s="26"/>
      <x:c r="C14" s="26"/>
      <x:c r="D14" s="22"/>
      <x:c r="E14" s="22"/>
      <x:c r="F14" s="28"/>
      <x:c r="G14" s="22"/>
    </x:row>
    <x:row r="15" ht="20" customHeight="1">
      <x:c r="A15" s="22"/>
      <x:c r="B15" s="26"/>
      <x:c r="C15" s="26"/>
      <x:c r="D15" s="22"/>
      <x:c r="E15" s="22"/>
      <x:c r="F15" s="28"/>
      <x:c r="G15" s="22"/>
    </x:row>
    <x:row r="16" ht="20" customHeight="1">
      <x:c r="A16" s="22"/>
      <x:c r="B16" s="26"/>
      <x:c r="C16" s="26"/>
      <x:c r="D16" s="22"/>
      <x:c r="E16" s="22"/>
      <x:c r="F16" s="28"/>
      <x:c r="G16" s="22"/>
    </x:row>
    <x:row r="17" ht="20" customHeight="1">
      <x:c r="A17" s="22"/>
      <x:c r="B17" s="26"/>
      <x:c r="C17" s="26"/>
      <x:c r="D17" s="22"/>
      <x:c r="E17" s="22"/>
      <x:c r="F17" s="28"/>
      <x:c r="G17" s="22"/>
    </x:row>
    <x:row r="18" ht="20" customHeight="1">
      <x:c r="A18" s="22"/>
      <x:c r="B18" s="26"/>
      <x:c r="C18" s="26"/>
      <x:c r="D18" s="22"/>
      <x:c r="E18" s="22"/>
      <x:c r="F18" s="28"/>
      <x:c r="G18" s="22"/>
    </x:row>
    <x:row r="19" ht="20" customHeight="1">
      <x:c r="A19" s="22"/>
      <x:c r="B19" s="26"/>
      <x:c r="C19" s="26"/>
      <x:c r="D19" s="22"/>
      <x:c r="E19" s="22"/>
      <x:c r="F19" s="28"/>
      <x:c r="G19" s="22"/>
    </x:row>
    <x:row r="20" ht="20" customHeight="1">
      <x:c r="A20" s="22"/>
      <x:c r="B20" s="26"/>
      <x:c r="C20" s="26"/>
      <x:c r="D20" s="22"/>
      <x:c r="E20" s="22"/>
      <x:c r="F20" s="28"/>
      <x:c r="G20" s="22"/>
    </x:row>
    <x:row r="21" ht="20" customHeight="1">
      <x:c r="A21" s="22"/>
      <x:c r="B21" s="26"/>
      <x:c r="C21" s="26"/>
      <x:c r="D21" s="22"/>
      <x:c r="E21" s="22"/>
      <x:c r="F21" s="28"/>
      <x:c r="G21" s="22"/>
    </x:row>
    <x:row r="22" ht="20" customHeight="1">
      <x:c r="A22" s="22"/>
      <x:c r="B22" s="26"/>
      <x:c r="C22" s="26"/>
      <x:c r="D22" s="22"/>
      <x:c r="E22" s="22"/>
      <x:c r="F22" s="28"/>
      <x:c r="G22" s="22"/>
    </x:row>
    <x:row r="23" ht="20" customHeight="1">
      <x:c r="A23" s="22"/>
      <x:c r="B23" s="26"/>
      <x:c r="C23" s="26"/>
      <x:c r="D23" s="22"/>
      <x:c r="E23" s="22"/>
      <x:c r="F23" s="28"/>
      <x:c r="G23" s="22"/>
    </x:row>
    <x:row r="24" ht="20" customHeight="1">
      <x:c r="A24" s="22"/>
      <x:c r="B24" s="26"/>
      <x:c r="C24" s="26"/>
      <x:c r="D24" s="22"/>
      <x:c r="E24" s="22"/>
      <x:c r="F24" s="28"/>
      <x:c r="G24" s="22"/>
    </x:row>
    <x:row r="25" ht="20" customHeight="1">
      <x:c r="A25" s="22"/>
      <x:c r="B25" s="26"/>
      <x:c r="C25" s="26"/>
      <x:c r="D25" s="22"/>
      <x:c r="E25" s="22"/>
      <x:c r="F25" s="28"/>
      <x:c r="G25" s="22"/>
    </x:row>
    <x:row r="26" ht="20" customHeight="1">
      <x:c r="A26" s="22"/>
      <x:c r="B26" s="26"/>
      <x:c r="C26" s="26"/>
      <x:c r="D26" s="22"/>
      <x:c r="E26" s="22"/>
      <x:c r="F26" s="28"/>
      <x:c r="G26" s="22"/>
    </x:row>
    <x:row r="27" ht="20" customHeight="1">
      <x:c r="A27" s="22"/>
      <x:c r="B27" s="26"/>
      <x:c r="C27" s="26"/>
      <x:c r="D27" s="22"/>
      <x:c r="E27" s="22"/>
      <x:c r="F27" s="28"/>
      <x:c r="G27" s="22"/>
    </x:row>
    <x:row r="28" ht="20" customHeight="1">
      <x:c r="A28" s="22"/>
      <x:c r="B28" s="26"/>
      <x:c r="C28" s="26"/>
      <x:c r="D28" s="22"/>
      <x:c r="E28" s="22"/>
      <x:c r="F28" s="28"/>
      <x:c r="G28" s="22"/>
    </x:row>
    <x:row r="29" ht="20" customHeight="1">
      <x:c r="A29" s="22"/>
      <x:c r="B29" s="26"/>
      <x:c r="C29" s="26"/>
      <x:c r="D29" s="22"/>
      <x:c r="E29" s="22"/>
      <x:c r="F29" s="28"/>
      <x:c r="G29" s="22"/>
    </x:row>
    <x:row r="30" ht="20" customHeight="1">
      <x:c r="A30" s="22"/>
      <x:c r="B30" s="26"/>
      <x:c r="C30" s="26"/>
      <x:c r="D30" s="22"/>
      <x:c r="E30" s="22"/>
      <x:c r="F30" s="28"/>
      <x:c r="G30" s="22"/>
    </x:row>
    <x:row r="31" ht="20" customHeight="1">
      <x:c r="A31" s="22"/>
      <x:c r="B31" s="26"/>
      <x:c r="C31" s="26"/>
      <x:c r="D31" s="22"/>
      <x:c r="E31" s="22"/>
      <x:c r="F31" s="28"/>
      <x:c r="G31" s="22"/>
    </x:row>
    <x:row r="32" ht="20" customHeight="1">
      <x:c r="A32" s="22"/>
      <x:c r="B32" s="26"/>
      <x:c r="C32" s="26"/>
      <x:c r="D32" s="22"/>
      <x:c r="E32" s="22"/>
      <x:c r="F32" s="28"/>
      <x:c r="G32" s="22"/>
    </x:row>
    <x:row r="33" ht="20" customHeight="1">
      <x:c r="A33" s="22"/>
      <x:c r="B33" s="26"/>
      <x:c r="C33" s="26"/>
      <x:c r="D33" s="22"/>
      <x:c r="E33" s="22"/>
      <x:c r="F33" s="28"/>
      <x:c r="G33" s="22"/>
    </x:row>
    <x:row r="34" ht="20" customHeight="1">
      <x:c r="A34" s="22"/>
      <x:c r="B34" s="26"/>
      <x:c r="C34" s="26"/>
      <x:c r="D34" s="22"/>
      <x:c r="E34" s="22"/>
      <x:c r="F34" s="28"/>
      <x:c r="G34" s="22"/>
    </x:row>
    <x:row r="35" ht="20" customHeight="1">
      <x:c r="A35" s="22"/>
      <x:c r="B35" s="26"/>
      <x:c r="C35" s="26"/>
      <x:c r="D35" s="22"/>
      <x:c r="E35" s="22"/>
      <x:c r="F35" s="28"/>
      <x:c r="G35" s="22"/>
    </x:row>
    <x:row r="36" ht="20" customHeight="1">
      <x:c r="A36" s="22"/>
      <x:c r="B36" s="26"/>
      <x:c r="C36" s="26"/>
      <x:c r="D36" s="22"/>
      <x:c r="E36" s="22"/>
      <x:c r="F36" s="28"/>
      <x:c r="G36" s="22"/>
    </x:row>
    <x:row r="37" ht="20" customHeight="1">
      <x:c r="A37" s="22"/>
      <x:c r="B37" s="26"/>
      <x:c r="C37" s="26"/>
      <x:c r="D37" s="22"/>
      <x:c r="E37" s="22"/>
      <x:c r="F37" s="28"/>
      <x:c r="G37" s="22"/>
    </x:row>
    <x:row r="38" ht="20" customHeight="1">
      <x:c r="A38" s="22"/>
      <x:c r="B38" s="26"/>
      <x:c r="C38" s="26"/>
      <x:c r="D38" s="22"/>
      <x:c r="E38" s="22"/>
      <x:c r="F38" s="28"/>
      <x:c r="G38" s="22"/>
    </x:row>
    <x:row r="39" ht="20" customHeight="1">
      <x:c r="A39" s="22"/>
      <x:c r="B39" s="26"/>
      <x:c r="C39" s="26"/>
      <x:c r="D39" s="22"/>
      <x:c r="E39" s="22"/>
      <x:c r="F39" s="28"/>
      <x:c r="G39" s="22"/>
    </x:row>
    <x:row r="40" ht="20" customHeight="1">
      <x:c r="A40" s="22"/>
      <x:c r="B40" s="26"/>
      <x:c r="C40" s="26"/>
      <x:c r="D40" s="22"/>
      <x:c r="E40" s="22"/>
      <x:c r="F40" s="28"/>
      <x:c r="G40" s="22"/>
    </x:row>
    <x:row r="41" ht="20" customHeight="1">
      <x:c r="A41" s="22"/>
      <x:c r="B41" s="26"/>
      <x:c r="C41" s="26"/>
      <x:c r="D41" s="22"/>
      <x:c r="E41" s="22"/>
      <x:c r="F41" s="28"/>
      <x:c r="G41" s="22"/>
    </x:row>
    <x:row r="42" ht="20" customHeight="1">
      <x:c r="A42" s="22"/>
      <x:c r="B42" s="26"/>
      <x:c r="C42" s="26"/>
      <x:c r="D42" s="22"/>
      <x:c r="E42" s="22"/>
      <x:c r="F42" s="28"/>
      <x:c r="G42" s="22"/>
    </x:row>
    <x:row r="43" ht="20" customHeight="1">
      <x:c r="A43" s="22"/>
      <x:c r="B43" s="26"/>
      <x:c r="C43" s="26"/>
      <x:c r="D43" s="22"/>
      <x:c r="E43" s="22"/>
      <x:c r="F43" s="28"/>
      <x:c r="G43" s="22"/>
    </x:row>
    <x:row r="44" ht="20" customHeight="1">
      <x:c r="A44" s="22"/>
      <x:c r="B44" s="26"/>
      <x:c r="C44" s="26"/>
      <x:c r="D44" s="22"/>
      <x:c r="E44" s="22"/>
      <x:c r="F44" s="28"/>
      <x:c r="G44" s="22"/>
    </x:row>
    <x:row r="45" ht="20" customHeight="1">
      <x:c r="A45" s="22"/>
      <x:c r="B45" s="26"/>
      <x:c r="C45" s="26"/>
      <x:c r="D45" s="22"/>
      <x:c r="E45" s="22"/>
      <x:c r="F45" s="28"/>
      <x:c r="G45" s="22"/>
    </x:row>
    <x:row r="46" ht="20" customHeight="1">
      <x:c r="A46" s="22"/>
      <x:c r="B46" s="26"/>
      <x:c r="C46" s="26"/>
      <x:c r="D46" s="22"/>
      <x:c r="E46" s="22"/>
      <x:c r="F46" s="28"/>
      <x:c r="G46" s="22"/>
    </x:row>
    <x:row r="47" ht="20" customHeight="1">
      <x:c r="A47" s="22"/>
      <x:c r="B47" s="26"/>
      <x:c r="C47" s="26"/>
      <x:c r="D47" s="22"/>
      <x:c r="E47" s="22"/>
      <x:c r="F47" s="28"/>
      <x:c r="G47" s="22"/>
    </x:row>
    <x:row r="48" ht="20" customHeight="1">
      <x:c r="A48" s="22"/>
      <x:c r="B48" s="26"/>
      <x:c r="C48" s="26"/>
      <x:c r="D48" s="22"/>
      <x:c r="E48" s="22"/>
      <x:c r="F48" s="28"/>
      <x:c r="G48" s="22"/>
    </x:row>
    <x:row r="49" ht="20" customHeight="1">
      <x:c r="A49" s="22"/>
      <x:c r="B49" s="26"/>
      <x:c r="C49" s="26"/>
      <x:c r="D49" s="22"/>
      <x:c r="E49" s="22"/>
      <x:c r="F49" s="28"/>
      <x:c r="G49" s="22"/>
    </x:row>
    <x:row r="50" ht="20" customHeight="1">
      <x:c r="A50" s="22"/>
      <x:c r="B50" s="26"/>
      <x:c r="C50" s="26"/>
      <x:c r="D50" s="22"/>
      <x:c r="E50" s="22"/>
      <x:c r="F50" s="28"/>
      <x:c r="G50" s="22"/>
    </x:row>
    <x:row r="51" ht="20" customHeight="1">
      <x:c r="A51" s="22"/>
      <x:c r="B51" s="26"/>
      <x:c r="C51" s="26"/>
      <x:c r="D51" s="22"/>
      <x:c r="E51" s="22"/>
      <x:c r="F51" s="28"/>
      <x:c r="G51" s="22"/>
    </x:row>
    <x:row r="52" ht="20" customHeight="1">
      <x:c r="A52" s="22"/>
      <x:c r="B52" s="26"/>
      <x:c r="C52" s="26"/>
      <x:c r="D52" s="22"/>
      <x:c r="E52" s="22"/>
      <x:c r="F52" s="28"/>
      <x:c r="G52" s="22"/>
    </x:row>
    <x:row r="53" ht="20" customHeight="1">
      <x:c r="A53" s="22"/>
      <x:c r="B53" s="26"/>
      <x:c r="C53" s="26"/>
      <x:c r="D53" s="22"/>
      <x:c r="E53" s="22"/>
      <x:c r="F53" s="28"/>
      <x:c r="G53" s="22"/>
    </x:row>
    <x:row r="54" ht="20" customHeight="1">
      <x:c r="A54" s="22"/>
      <x:c r="B54" s="26"/>
      <x:c r="C54" s="26"/>
      <x:c r="D54" s="22"/>
      <x:c r="E54" s="22"/>
      <x:c r="F54" s="28"/>
      <x:c r="G54" s="22"/>
    </x:row>
    <x:row r="55" ht="20" customHeight="1">
      <x:c r="A55" s="22"/>
      <x:c r="B55" s="26"/>
      <x:c r="C55" s="26"/>
      <x:c r="D55" s="22"/>
      <x:c r="E55" s="22"/>
      <x:c r="F55" s="28"/>
      <x:c r="G55" s="22"/>
    </x:row>
    <x:row r="56" ht="20" customHeight="1">
      <x:c r="A56" s="22"/>
      <x:c r="B56" s="26"/>
      <x:c r="C56" s="26"/>
      <x:c r="D56" s="22"/>
      <x:c r="E56" s="22"/>
      <x:c r="F56" s="28"/>
      <x:c r="G56" s="22"/>
    </x:row>
    <x:row r="57" ht="20" customHeight="1">
      <x:c r="A57" s="22"/>
      <x:c r="B57" s="26"/>
      <x:c r="C57" s="26"/>
      <x:c r="D57" s="22"/>
      <x:c r="E57" s="22"/>
      <x:c r="F57" s="28"/>
      <x:c r="G57" s="22"/>
    </x:row>
    <x:row r="58" ht="20" customHeight="1">
      <x:c r="A58" s="22"/>
      <x:c r="B58" s="26"/>
      <x:c r="C58" s="26"/>
      <x:c r="D58" s="22"/>
      <x:c r="E58" s="22"/>
      <x:c r="F58" s="28"/>
      <x:c r="G58" s="22"/>
    </x:row>
    <x:row r="59" ht="20" customHeight="1">
      <x:c r="A59" s="22"/>
      <x:c r="B59" s="26"/>
      <x:c r="C59" s="26"/>
      <x:c r="D59" s="22"/>
      <x:c r="E59" s="22"/>
      <x:c r="F59" s="28"/>
      <x:c r="G59" s="22"/>
    </x:row>
    <x:row r="60" ht="20" customHeight="1">
      <x:c r="A60" s="22"/>
      <x:c r="B60" s="26"/>
      <x:c r="C60" s="26"/>
      <x:c r="D60" s="22"/>
      <x:c r="E60" s="22"/>
      <x:c r="F60" s="28"/>
      <x:c r="G60" s="22"/>
    </x:row>
    <x:row r="61" ht="20" customHeight="1">
      <x:c r="A61" s="22"/>
      <x:c r="B61" s="26"/>
      <x:c r="C61" s="26"/>
      <x:c r="D61" s="22"/>
      <x:c r="E61" s="22"/>
      <x:c r="F61" s="28"/>
      <x:c r="G61" s="22"/>
    </x:row>
    <x:row r="62" ht="20" customHeight="1">
      <x:c r="A62" s="22"/>
      <x:c r="B62" s="26"/>
      <x:c r="C62" s="26"/>
      <x:c r="D62" s="22"/>
      <x:c r="E62" s="22"/>
      <x:c r="F62" s="28"/>
      <x:c r="G62" s="22"/>
    </x:row>
    <x:row r="63" ht="20" customHeight="1">
      <x:c r="A63" s="22"/>
      <x:c r="B63" s="26"/>
      <x:c r="C63" s="26"/>
      <x:c r="D63" s="22"/>
      <x:c r="E63" s="22"/>
      <x:c r="F63" s="28"/>
      <x:c r="G63" s="22"/>
    </x:row>
    <x:row r="64" ht="20" customHeight="1">
      <x:c r="A64" s="22"/>
      <x:c r="B64" s="26"/>
      <x:c r="C64" s="26"/>
      <x:c r="D64" s="22"/>
      <x:c r="E64" s="22"/>
      <x:c r="F64" s="28"/>
      <x:c r="G64" s="22"/>
    </x:row>
    <x:row r="65" ht="20" customHeight="1">
      <x:c r="A65" s="22"/>
      <x:c r="B65" s="26"/>
      <x:c r="C65" s="26"/>
      <x:c r="D65" s="22"/>
      <x:c r="E65" s="22"/>
      <x:c r="F65" s="28"/>
      <x:c r="G65" s="22"/>
    </x:row>
    <x:row r="66" ht="20" customHeight="1">
      <x:c r="A66" s="22"/>
      <x:c r="B66" s="26"/>
      <x:c r="C66" s="26"/>
      <x:c r="D66" s="22"/>
      <x:c r="E66" s="22"/>
      <x:c r="F66" s="28"/>
      <x:c r="G66" s="22"/>
    </x:row>
    <x:row r="67" ht="20" customHeight="1">
      <x:c r="A67" s="22"/>
      <x:c r="B67" s="26"/>
      <x:c r="C67" s="26"/>
      <x:c r="D67" s="22"/>
      <x:c r="E67" s="22"/>
      <x:c r="F67" s="28"/>
      <x:c r="G67" s="22"/>
    </x:row>
    <x:row r="68" ht="20" customHeight="1">
      <x:c r="A68" s="22"/>
      <x:c r="B68" s="26"/>
      <x:c r="C68" s="26"/>
      <x:c r="D68" s="22"/>
      <x:c r="E68" s="22"/>
      <x:c r="F68" s="28"/>
      <x:c r="G68" s="22"/>
    </x:row>
    <x:row r="69" ht="20" customHeight="1">
      <x:c r="A69" s="22"/>
      <x:c r="B69" s="26"/>
      <x:c r="C69" s="26"/>
      <x:c r="D69" s="22"/>
      <x:c r="E69" s="22"/>
      <x:c r="F69" s="28"/>
      <x:c r="G69" s="22"/>
    </x:row>
    <x:row r="70" ht="20" customHeight="1">
      <x:c r="A70" s="22"/>
      <x:c r="B70" s="26"/>
      <x:c r="C70" s="26"/>
      <x:c r="D70" s="22"/>
      <x:c r="E70" s="22"/>
      <x:c r="F70" s="28"/>
      <x:c r="G70" s="22"/>
    </x:row>
    <x:row r="71" ht="20" customHeight="1">
      <x:c r="A71" s="22"/>
      <x:c r="B71" s="26"/>
      <x:c r="C71" s="26"/>
      <x:c r="D71" s="22"/>
      <x:c r="E71" s="22"/>
      <x:c r="F71" s="28"/>
      <x:c r="G71" s="22"/>
    </x:row>
    <x:row r="72" ht="20" customHeight="1">
      <x:c r="A72" s="22"/>
      <x:c r="B72" s="26"/>
      <x:c r="C72" s="26"/>
      <x:c r="D72" s="22"/>
      <x:c r="E72" s="22"/>
      <x:c r="F72" s="28"/>
      <x:c r="G72" s="22"/>
    </x:row>
    <x:row r="73" ht="20" customHeight="1">
      <x:c r="A73" s="22"/>
      <x:c r="B73" s="26"/>
      <x:c r="C73" s="26"/>
      <x:c r="D73" s="22"/>
      <x:c r="E73" s="22"/>
      <x:c r="F73" s="28"/>
      <x:c r="G73" s="22"/>
    </x:row>
    <x:row r="74" ht="20" customHeight="1">
      <x:c r="A74" s="22"/>
      <x:c r="B74" s="26"/>
      <x:c r="C74" s="26"/>
      <x:c r="D74" s="22"/>
      <x:c r="E74" s="22"/>
      <x:c r="F74" s="28"/>
      <x:c r="G74" s="22"/>
    </x:row>
    <x:row r="75" ht="20" customHeight="1">
      <x:c r="A75" s="22"/>
      <x:c r="B75" s="26"/>
      <x:c r="C75" s="26"/>
      <x:c r="D75" s="22"/>
      <x:c r="E75" s="22"/>
      <x:c r="F75" s="28"/>
      <x:c r="G75" s="22"/>
    </x:row>
    <x:row r="76" ht="20" customHeight="1">
      <x:c r="A76" s="22"/>
      <x:c r="B76" s="26"/>
      <x:c r="C76" s="26"/>
      <x:c r="D76" s="22"/>
      <x:c r="E76" s="22"/>
      <x:c r="F76" s="28"/>
      <x:c r="G76" s="22"/>
    </x:row>
    <x:row r="77" ht="20" customHeight="1">
      <x:c r="A77" s="22"/>
      <x:c r="B77" s="26"/>
      <x:c r="C77" s="26"/>
      <x:c r="D77" s="22"/>
      <x:c r="E77" s="22"/>
      <x:c r="F77" s="28"/>
      <x:c r="G77" s="22"/>
    </x:row>
    <x:row r="78" ht="20" customHeight="1">
      <x:c r="A78" s="22"/>
      <x:c r="B78" s="26"/>
      <x:c r="C78" s="26"/>
      <x:c r="D78" s="22"/>
      <x:c r="E78" s="22"/>
      <x:c r="F78" s="28"/>
      <x:c r="G78" s="22"/>
    </x:row>
    <x:row r="79" ht="20" customHeight="1">
      <x:c r="A79" s="22"/>
      <x:c r="B79" s="26"/>
      <x:c r="C79" s="26"/>
      <x:c r="D79" s="22"/>
      <x:c r="E79" s="22"/>
      <x:c r="F79" s="28"/>
      <x:c r="G79" s="22"/>
    </x:row>
    <x:row r="80" ht="20" customHeight="1">
      <x:c r="A80" s="22"/>
      <x:c r="B80" s="26"/>
      <x:c r="C80" s="26"/>
      <x:c r="D80" s="22"/>
      <x:c r="E80" s="22"/>
      <x:c r="F80" s="28"/>
      <x:c r="G80" s="22"/>
    </x:row>
    <x:row r="81" ht="20" customHeight="1">
      <x:c r="A81" s="22"/>
      <x:c r="B81" s="26"/>
      <x:c r="C81" s="26"/>
      <x:c r="D81" s="22"/>
      <x:c r="E81" s="22"/>
      <x:c r="F81" s="28"/>
      <x:c r="G81" s="22"/>
    </x:row>
    <x:row r="82" ht="20" customHeight="1">
      <x:c r="A82" s="22"/>
      <x:c r="B82" s="26"/>
      <x:c r="C82" s="26"/>
      <x:c r="D82" s="22"/>
      <x:c r="E82" s="22"/>
      <x:c r="F82" s="28"/>
      <x:c r="G82" s="22"/>
    </x:row>
    <x:row r="83" ht="20" customHeight="1">
      <x:c r="A83" s="22"/>
      <x:c r="B83" s="26"/>
      <x:c r="C83" s="26"/>
      <x:c r="D83" s="22"/>
      <x:c r="E83" s="22"/>
      <x:c r="F83" s="28"/>
      <x:c r="G83" s="22"/>
    </x:row>
    <x:row r="84" ht="20" customHeight="1">
      <x:c r="A84" s="22"/>
      <x:c r="B84" s="26"/>
      <x:c r="C84" s="26"/>
      <x:c r="D84" s="22"/>
      <x:c r="E84" s="22"/>
      <x:c r="F84" s="28"/>
      <x:c r="G84" s="22"/>
    </x:row>
    <x:row r="85" ht="20" customHeight="1">
      <x:c r="A85" s="22"/>
      <x:c r="B85" s="26"/>
      <x:c r="C85" s="26"/>
      <x:c r="D85" s="22"/>
      <x:c r="E85" s="22"/>
      <x:c r="F85" s="28"/>
      <x:c r="G85" s="22"/>
    </x:row>
    <x:row r="86" ht="20" customHeight="1">
      <x:c r="A86" s="22"/>
      <x:c r="B86" s="26"/>
      <x:c r="C86" s="26"/>
      <x:c r="D86" s="22"/>
      <x:c r="E86" s="22"/>
      <x:c r="F86" s="28"/>
      <x:c r="G86" s="22"/>
    </x:row>
    <x:row r="87" ht="20" customHeight="1">
      <x:c r="A87" s="22"/>
      <x:c r="B87" s="26"/>
      <x:c r="C87" s="26"/>
      <x:c r="D87" s="22"/>
      <x:c r="E87" s="22"/>
      <x:c r="F87" s="28"/>
      <x:c r="G87" s="22"/>
    </x:row>
    <x:row r="88" ht="20" customHeight="1">
      <x:c r="A88" s="22"/>
      <x:c r="B88" s="26"/>
      <x:c r="C88" s="26"/>
      <x:c r="D88" s="22"/>
      <x:c r="E88" s="22"/>
      <x:c r="F88" s="28"/>
      <x:c r="G88" s="22"/>
    </x:row>
    <x:row r="89" ht="20" customHeight="1">
      <x:c r="A89" s="22"/>
      <x:c r="B89" s="26"/>
      <x:c r="C89" s="26"/>
      <x:c r="D89" s="22"/>
      <x:c r="E89" s="22"/>
      <x:c r="F89" s="28"/>
      <x:c r="G89" s="22"/>
    </x:row>
    <x:row r="90" ht="20" customHeight="1">
      <x:c r="A90" s="22"/>
      <x:c r="B90" s="26"/>
      <x:c r="C90" s="26"/>
      <x:c r="D90" s="22"/>
      <x:c r="E90" s="22"/>
      <x:c r="F90" s="28"/>
      <x:c r="G90" s="22"/>
    </x:row>
    <x:row r="91" ht="20" customHeight="1">
      <x:c r="A91" s="22"/>
      <x:c r="B91" s="26"/>
      <x:c r="C91" s="26"/>
      <x:c r="D91" s="22"/>
      <x:c r="E91" s="22"/>
      <x:c r="F91" s="28"/>
      <x:c r="G91" s="22"/>
    </x:row>
    <x:row r="92" ht="20" customHeight="1">
      <x:c r="A92" s="22"/>
      <x:c r="B92" s="26"/>
      <x:c r="C92" s="26"/>
      <x:c r="D92" s="22"/>
      <x:c r="E92" s="22"/>
      <x:c r="F92" s="28"/>
      <x:c r="G92" s="22"/>
    </x:row>
    <x:row r="93" ht="20" customHeight="1">
      <x:c r="A93" s="22"/>
      <x:c r="B93" s="26"/>
      <x:c r="C93" s="26"/>
      <x:c r="D93" s="22"/>
      <x:c r="E93" s="22"/>
      <x:c r="F93" s="28"/>
      <x:c r="G93" s="22"/>
    </x:row>
    <x:row r="94" ht="20" customHeight="1">
      <x:c r="A94" s="22"/>
      <x:c r="B94" s="26"/>
      <x:c r="C94" s="26"/>
      <x:c r="D94" s="22"/>
      <x:c r="E94" s="22"/>
      <x:c r="F94" s="28"/>
      <x:c r="G94" s="22"/>
    </x:row>
    <x:row r="95" ht="20" customHeight="1">
      <x:c r="A95" s="22"/>
      <x:c r="B95" s="26"/>
      <x:c r="C95" s="26"/>
      <x:c r="D95" s="22"/>
      <x:c r="E95" s="22"/>
      <x:c r="F95" s="28"/>
      <x:c r="G95" s="22"/>
    </x:row>
    <x:row r="96" ht="20" customHeight="1">
      <x:c r="A96" s="22"/>
      <x:c r="B96" s="26"/>
      <x:c r="C96" s="26"/>
      <x:c r="D96" s="22"/>
      <x:c r="E96" s="22"/>
      <x:c r="F96" s="28"/>
      <x:c r="G96" s="22"/>
    </x:row>
    <x:row r="97" ht="20" customHeight="1">
      <x:c r="A97" s="22"/>
      <x:c r="B97" s="26"/>
      <x:c r="C97" s="26"/>
      <x:c r="D97" s="22"/>
      <x:c r="E97" s="22"/>
      <x:c r="F97" s="28"/>
      <x:c r="G97" s="22"/>
    </x:row>
    <x:row r="98" ht="20" customHeight="1">
      <x:c r="A98" s="22"/>
      <x:c r="B98" s="26"/>
      <x:c r="C98" s="26"/>
      <x:c r="D98" s="22"/>
      <x:c r="E98" s="22"/>
      <x:c r="F98" s="28"/>
      <x:c r="G98" s="22"/>
    </x:row>
    <x:row r="99" ht="20" customHeight="1">
      <x:c r="A99" s="22"/>
      <x:c r="B99" s="26"/>
      <x:c r="C99" s="26"/>
      <x:c r="D99" s="22"/>
      <x:c r="E99" s="22"/>
      <x:c r="F99" s="28"/>
      <x:c r="G99" s="22"/>
    </x:row>
    <x:row r="100" ht="20" customHeight="1">
      <x:c r="A100" s="22"/>
      <x:c r="B100" s="26"/>
      <x:c r="C100" s="26"/>
      <x:c r="D100" s="22"/>
      <x:c r="E100" s="22"/>
      <x:c r="F100" s="28"/>
      <x:c r="G100" s="22"/>
    </x:row>
    <x:row r="101" ht="20" customHeight="1">
      <x:c r="A101" s="22"/>
      <x:c r="B101" s="26"/>
      <x:c r="C101" s="26"/>
      <x:c r="D101" s="22"/>
      <x:c r="E101" s="22"/>
      <x:c r="F101" s="28"/>
      <x:c r="G101" s="22"/>
    </x:row>
    <x:row r="102" ht="20" customHeight="1">
      <x:c r="A102" s="22"/>
      <x:c r="B102" s="26"/>
      <x:c r="C102" s="26"/>
      <x:c r="D102" s="22"/>
      <x:c r="E102" s="22"/>
      <x:c r="F102" s="28"/>
      <x:c r="G102" s="22"/>
    </x:row>
    <x:row r="103" ht="20" customHeight="1">
      <x:c r="A103" s="22"/>
      <x:c r="B103" s="26"/>
      <x:c r="C103" s="26"/>
      <x:c r="D103" s="22"/>
      <x:c r="E103" s="22"/>
      <x:c r="F103" s="28"/>
      <x:c r="G103" s="22"/>
    </x:row>
    <x:row r="104" ht="20" customHeight="1">
      <x:c r="A104" s="22"/>
      <x:c r="B104" s="26"/>
      <x:c r="C104" s="26"/>
      <x:c r="D104" s="22"/>
      <x:c r="E104" s="22"/>
      <x:c r="F104" s="28"/>
      <x:c r="G104" s="22"/>
    </x:row>
    <x:row r="105" ht="20" customHeight="1">
      <x:c r="A105" s="22"/>
      <x:c r="B105" s="26"/>
      <x:c r="C105" s="26"/>
      <x:c r="D105" s="22"/>
      <x:c r="E105" s="22"/>
      <x:c r="F105" s="28"/>
      <x:c r="G105" s="22"/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f6b8db76c9cb4142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6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7" t="str">
        <x:v>품질 점검 | 오류가 있으면 공식 집계로 사용 금지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21" customHeight="1">
      <x:c r="A2" s="15" t="str">
        <x:v>엑셀은 일부 논리 점검을 제공. JSON 내보내기 시 전체 스키마·중복·외래키·이력 순서를 Python 검증기로 확인.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0" t="str">
        <x:v>검사 항목</x:v>
      </x:c>
      <x:c r="B5" s="20" t="str">
        <x:v>건수</x:v>
      </x:c>
      <x:c r="C5" s="20" t="str">
        <x:v>조치</x:v>
      </x:c>
      <x:c r="D5" s="2"/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 t="str">
        <x:v>방법론 ID 중복</x:v>
      </x:c>
      <x:c r="B6" s="2" t="n">
        <x:f>SUM('10_방법론'!$T$6:$T$105)</x:f>
        <x:v>0</x:v>
      </x:c>
      <x:c r="C6" s="2" t="str">
        <x:v>중복 행을 제거하기 전 동일 방법론·별칭 여부 확인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21" customHeight="1">
      <x:c r="A7" s="2" t="str">
        <x:v>버전 ID 중복</x:v>
      </x:c>
      <x:c r="B7" s="2" t="n">
        <x:f>SUM('11_버전'!$K$6:$K$205)</x:f>
        <x:v>0</x:v>
      </x:c>
      <x:c r="C7" s="2" t="str">
        <x:v>버전 고유 ID와 방법론+버전 조합 확인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21" customHeight="1">
      <x:c r="A8" s="2" t="str">
        <x:v>신청 ID 중복</x:v>
      </x:c>
      <x:c r="B8" s="2" t="n">
        <x:f>SUM('12_신청'!$X$6:$X$105)</x:f>
        <x:v>0</x:v>
      </x:c>
      <x:c r="C8" s="2" t="str">
        <x:v>신규·개정 신청의 사건 ID를 분리</x:v>
      </x:c>
      <x:c r="D8" s="2"/>
      <x:c r="E8" s="2"/>
      <x:c r="F8" s="2"/>
      <x:c r="G8" s="2"/>
      <x:c r="H8" s="2"/>
      <x:c r="I8" s="2"/>
      <x:c r="J8" s="2"/>
      <x:c r="K8" s="2"/>
      <x:c r="L8" s="2"/>
    </x:row>
    <x:row r="9" ht="21" customHeight="1">
      <x:c r="A9" s="2" t="str">
        <x:v>분류 미확정</x:v>
      </x:c>
      <x:c r="B9" s="2" t="n">
        <x:f>COUNTIF('10_방법론'!$D$6:$D$105,"unclassified")</x:f>
        <x:v>1</x:v>
      </x:c>
      <x:c r="C9" s="2" t="str">
        <x:v>공식분류·관장범위 근거를 확인한 후 분류</x:v>
      </x:c>
      <x:c r="D9" s="2"/>
      <x:c r="E9" s="2"/>
      <x:c r="F9" s="2"/>
      <x:c r="G9" s="2"/>
      <x:c r="H9" s="2"/>
      <x:c r="I9" s="2"/>
      <x:c r="J9" s="2"/>
      <x:c r="K9" s="2"/>
      <x:c r="L9" s="2"/>
    </x:row>
    <x:row r="10" ht="21" customHeight="1">
      <x:c r="A10" s="2" t="str">
        <x:v>등록연도 미확인</x:v>
      </x:c>
      <x:c r="B10" s="2" t="n">
        <x:f>'04_검토통계'!F12</x:f>
        <x:v>1</x:v>
      </x:c>
      <x:c r="C10" s="2" t="str">
        <x:v>유효시작일로 임의 대체하지 않음</x:v>
      </x:c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1" customHeight="1">
      <x:c r="A11" s="2" t="str">
        <x:v>단계 미확인</x:v>
      </x:c>
      <x:c r="B11" s="2" t="n">
        <x:f>'04_검토통계'!F18</x:f>
        <x:v>0</x:v>
      </x:c>
      <x:c r="C11" s="2" t="str">
        <x:v>신청별 접수 및 검토 이력 확보</x:v>
      </x:c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</x:sheetData>
  <x:mergeCells>
    <x:mergeCell ref="A1:L1"/>
    <x:mergeCell ref="A2:L3"/>
  </x:mergeCells>
  <x:conditionalFormatting sqref="B6:B11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7" t="str">
        <x:v>코드북 | 업무용 표준 코드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1" customHeight="1">
      <x:c r="A2" s="15" t="str">
        <x:v>공식 상태 원문을 별도 보존. 표준 단계는 대시보드 집계용 분류이며 법적 처분의 자동 판정 아님.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21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1" customHeight="1">
      <x:c r="A5" s="20" t="str">
        <x:v>stage</x:v>
      </x:c>
      <x:c r="B5" s="20" t="str">
        <x:v>표시명</x:v>
      </x:c>
      <x:c r="C5" s="20" t="str">
        <x:v>집계 코드</x:v>
      </x:c>
      <x:c r="D5" s="2"/>
      <x:c r="E5" s="20" t="str">
        <x:v>scope</x:v>
      </x:c>
      <x:c r="F5" s="20" t="str">
        <x:v>표시명</x:v>
      </x:c>
      <x:c r="G5" s="2"/>
      <x:c r="H5" s="2"/>
      <x:c r="I5" s="2"/>
      <x:c r="J5" s="2"/>
    </x:row>
    <x:row r="6" ht="21" customHeight="1">
      <x:c r="A6" s="2" t="str">
        <x:v>draft</x:v>
      </x:c>
      <x:c r="B6" s="2" t="str">
        <x:v>신청 준비</x:v>
      </x:c>
      <x:c r="C6" s="2" t="n">
        <x:v>0</x:v>
      </x:c>
      <x:c r="D6" s="2"/>
      <x:c r="E6" s="2" t="str">
        <x:v>industry</x:v>
      </x:c>
      <x:c r="F6" s="2" t="str">
        <x:v>산업</x:v>
      </x:c>
      <x:c r="G6" s="2"/>
      <x:c r="H6" s="2"/>
      <x:c r="I6" s="2"/>
      <x:c r="J6" s="2"/>
    </x:row>
    <x:row r="7" ht="21" customHeight="1">
      <x:c r="A7" s="2" t="str">
        <x:v>submitted</x:v>
      </x:c>
      <x:c r="B7" s="2" t="str">
        <x:v>접수</x:v>
      </x:c>
      <x:c r="C7" s="2" t="n">
        <x:v>1</x:v>
      </x:c>
      <x:c r="D7" s="2"/>
      <x:c r="E7" s="2" t="str">
        <x:v>transition</x:v>
      </x:c>
      <x:c r="F7" s="2" t="str">
        <x:v>전환</x:v>
      </x:c>
      <x:c r="G7" s="2"/>
      <x:c r="H7" s="2"/>
      <x:c r="I7" s="2"/>
      <x:c r="J7" s="2"/>
    </x:row>
    <x:row r="8" ht="21" customHeight="1">
      <x:c r="A8" s="2" t="str">
        <x:v>review</x:v>
      </x:c>
      <x:c r="B8" s="2" t="str">
        <x:v>관장기관 검토</x:v>
      </x:c>
      <x:c r="C8" s="2" t="n">
        <x:v>2</x:v>
      </x:c>
      <x:c r="D8" s="2"/>
      <x:c r="E8" s="2" t="str">
        <x:v>other</x:v>
      </x:c>
      <x:c r="F8" s="2" t="str">
        <x:v>기타</x:v>
      </x:c>
      <x:c r="G8" s="2"/>
      <x:c r="H8" s="2"/>
      <x:c r="I8" s="2"/>
      <x:c r="J8" s="2"/>
    </x:row>
    <x:row r="9" ht="21" customHeight="1">
      <x:c r="A9" s="2" t="str">
        <x:v>consultation</x:v>
      </x:c>
      <x:c r="B9" s="2" t="str">
        <x:v>관계기관 협의</x:v>
      </x:c>
      <x:c r="C9" s="2" t="n">
        <x:v>3</x:v>
      </x:c>
      <x:c r="D9" s="2"/>
      <x:c r="E9" s="2" t="str">
        <x:v>unclassified</x:v>
      </x:c>
      <x:c r="F9" s="2" t="str">
        <x:v>분류 확인 필요</x:v>
      </x:c>
      <x:c r="G9" s="2"/>
      <x:c r="H9" s="2"/>
      <x:c r="I9" s="2"/>
      <x:c r="J9" s="2"/>
    </x:row>
    <x:row r="10" ht="21" customHeight="1">
      <x:c r="A10" s="2" t="str">
        <x:v>committee</x:v>
      </x:c>
      <x:c r="B10" s="2" t="str">
        <x:v>심의</x:v>
      </x:c>
      <x:c r="C10" s="2" t="n">
        <x:v>4</x:v>
      </x:c>
      <x:c r="D10" s="2"/>
      <x:c r="E10" s="2"/>
      <x:c r="F10" s="2"/>
      <x:c r="G10" s="2"/>
      <x:c r="H10" s="2"/>
      <x:c r="I10" s="2"/>
      <x:c r="J10" s="2"/>
    </x:row>
    <x:row r="11" ht="21" customHeight="1">
      <x:c r="A11" s="2" t="str">
        <x:v>approved</x:v>
      </x:c>
      <x:c r="B11" s="2" t="str">
        <x:v>승인·등록대기</x:v>
      </x:c>
      <x:c r="C11" s="2" t="n">
        <x:v>5</x:v>
      </x:c>
      <x:c r="D11" s="2"/>
      <x:c r="E11" s="2"/>
      <x:c r="F11" s="2"/>
      <x:c r="G11" s="2"/>
      <x:c r="H11" s="2"/>
      <x:c r="I11" s="2"/>
      <x:c r="J11" s="2"/>
    </x:row>
    <x:row r="12" ht="21" customHeight="1">
      <x:c r="A12" s="2" t="str">
        <x:v>registered</x:v>
      </x:c>
      <x:c r="B12" s="2" t="str">
        <x:v>등록 완료</x:v>
      </x:c>
      <x:c r="C12" s="2" t="n">
        <x:v>6</x:v>
      </x:c>
      <x:c r="D12" s="2"/>
      <x:c r="E12" s="2"/>
      <x:c r="F12" s="2"/>
      <x:c r="G12" s="2"/>
      <x:c r="H12" s="2"/>
      <x:c r="I12" s="2"/>
      <x:c r="J12" s="2"/>
    </x:row>
    <x:row r="13" ht="21" customHeight="1">
      <x:c r="A13" s="2" t="str">
        <x:v>rejected</x:v>
      </x:c>
      <x:c r="B13" s="2" t="str">
        <x:v>반려·불승인</x:v>
      </x:c>
      <x:c r="C13" s="2" t="n">
        <x:v>7</x:v>
      </x:c>
      <x:c r="D13" s="2"/>
      <x:c r="E13" s="2"/>
      <x:c r="F13" s="2"/>
      <x:c r="G13" s="2"/>
      <x:c r="H13" s="2"/>
      <x:c r="I13" s="2"/>
      <x:c r="J13" s="2"/>
    </x:row>
    <x:row r="14" ht="21" customHeight="1">
      <x:c r="A14" s="2" t="str">
        <x:v>withdrawn</x:v>
      </x:c>
      <x:c r="B14" s="2" t="str">
        <x:v>철회</x:v>
      </x:c>
      <x:c r="C14" s="2" t="n">
        <x:v>8</x:v>
      </x:c>
      <x:c r="D14" s="2"/>
      <x:c r="E14" s="2"/>
      <x:c r="F14" s="2"/>
      <x:c r="G14" s="2"/>
      <x:c r="H14" s="2"/>
      <x:c r="I14" s="2"/>
      <x:c r="J14" s="2"/>
    </x:row>
    <x:row r="15" ht="21" customHeight="1">
      <x:c r="A15" s="2" t="str">
        <x:v>unknown</x:v>
      </x:c>
      <x:c r="B15" s="2" t="str">
        <x:v>단계 미확인</x:v>
      </x:c>
      <x:c r="C15" s="2" t="n">
        <x:v>9</x:v>
      </x:c>
      <x:c r="D15" s="2"/>
      <x:c r="E15" s="2"/>
      <x:c r="F15" s="2"/>
      <x:c r="G15" s="2"/>
      <x:c r="H15" s="2"/>
      <x:c r="I15" s="2"/>
      <x:c r="J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</x:sheetData>
  <x:mergeCells>
    <x:mergeCell ref="A1:J1"/>
    <x:mergeCell ref="A2:J3"/>
  </x:mergeCells>
  <x:pageMargins left="0.7" right="0.7" top="0.75" bottom="0.75" header="0.3" footer="0.3"/>
</x:worksheet>
</file>