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99fee1f96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b9fa9150c1c04294"/>
    <x:sheet xmlns:r="http://schemas.openxmlformats.org/officeDocument/2006/relationships" name="분석조건" sheetId="2" r:id="R4adc4a8994664e14"/>
    <x:sheet xmlns:r="http://schemas.openxmlformats.org/officeDocument/2006/relationships" name="통계" sheetId="3" r:id="R285928f64f324ee3"/>
    <x:sheet xmlns:r="http://schemas.openxmlformats.org/officeDocument/2006/relationships" name="방법론" sheetId="4" r:id="Rf3913bf229b94293"/>
    <x:sheet xmlns:r="http://schemas.openxmlformats.org/officeDocument/2006/relationships" name="버전" sheetId="5" r:id="R757bdf1763e9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00"/>
    <x:numFmt numFmtId="202" formatCode="@"/>
    <x:numFmt numFmtId="203" formatCode="0.0%"/>
    <x:numFmt numFmtId="204" formatCode="&quot;  &quot;#,##0"/>
    <x:numFmt numFmtId="205" formatCode="&quot;  &quot;00"/>
    <x:numFmt numFmtId="206" formatCode="&quot;  &quot;+0;&quot;  &quot;-0;&quot;  &quot;0"/>
    <x:numFmt numFmtId="207" formatCode="&quot;  &quot;0.0%"/>
  </x:numFmts>
  <x:fonts count="26">
    <x:font>
      <x:sz val="11"/>
      <x:name val="Carlito"/>
    </x:font>
    <x:font>
      <x:sz val="10"/>
      <x:color rgb="FF33363D"/>
      <x:name val="Malgun Gothic"/>
    </x:font>
    <x:font>
      <x:b/>
      <x:sz val="16"/>
      <x:color rgb="FF003675"/>
      <x:name val="Malgun Gothic"/>
    </x:font>
    <x:font>
      <x:sz val="10"/>
      <x:color rgb="FF6D7882"/>
      <x:name val="Malgun Gothic"/>
    </x:font>
    <x:font>
      <x:b/>
      <x:sz val="12"/>
      <x:color rgb="FF003675"/>
      <x:name val="Malgun Gothic"/>
    </x:font>
    <x:font>
      <x:b/>
      <x:sz val="10"/>
      <x:color rgb="FF003675"/>
      <x:name val="Malgun Gothic"/>
    </x:font>
    <x:font>
      <x:b/>
      <x:sz val="8"/>
      <x:color rgb="FFD3E1FB"/>
      <x:name val="Malgun Gothic"/>
    </x:font>
    <x:font>
      <x:b/>
      <x:sz val="20"/>
      <x:color rgb="FFFFFFFF"/>
      <x:name val="Malgun Gothic"/>
    </x:font>
    <x:font>
      <x:sz val="9"/>
      <x:color rgb="FFD3E1FB"/>
      <x:name val="Malgun Gothic"/>
    </x:font>
    <x:font>
      <x:b/>
      <x:sz val="10.5"/>
      <x:color rgb="FF0B50D0"/>
      <x:name val="Malgun Gothic"/>
    </x:font>
    <x:font>
      <x:b/>
      <x:sz val="12"/>
      <x:color rgb="FF0B50D0"/>
      <x:name val="Malgun Gothic"/>
    </x:font>
    <x:font>
      <x:sz val="8.5"/>
      <x:color rgb="FF33363D"/>
      <x:name val="Malgun Gothic"/>
    </x:font>
    <x:font>
      <x:b/>
      <x:sz val="9"/>
      <x:color rgb="FF464C53"/>
      <x:name val="Malgun Gothic"/>
    </x:font>
    <x:font>
      <x:b/>
      <x:sz val="24"/>
      <x:color rgb="FF1E2124"/>
      <x:name val="Malgun Gothic"/>
    </x:font>
    <x:font>
      <x:sz val="8"/>
      <x:color rgb="FF6D7882"/>
      <x:name val="Malgun Gothic"/>
    </x:font>
    <x:font>
      <x:b/>
      <x:sz val="8"/>
      <x:color rgb="FFFFFFFF"/>
      <x:name val="Malgun Gothic"/>
    </x:font>
    <x:font>
      <x:b/>
      <x:sz val="14"/>
      <x:color rgb="FF246BEB"/>
      <x:name val="Malgun Gothic"/>
    </x:font>
    <x:font>
      <x:b/>
      <x:sz val="10.5"/>
      <x:color rgb="FF003675"/>
      <x:name val="Malgun Gothic"/>
    </x:font>
    <x:font>
      <x:sz val="9"/>
      <x:color rgb="FF33363D"/>
      <x:name val="Malgun Gothic"/>
    </x:font>
    <x:font>
      <x:b/>
      <x:sz val="8"/>
      <x:color rgb="FF6D7882"/>
      <x:name val="Malgun Gothic"/>
    </x:font>
    <x:font>
      <x:b/>
      <x:sz val="13"/>
      <x:color rgb="FF003675"/>
      <x:name val="Malgun Gothic"/>
    </x:font>
    <x:font>
      <x:sz val="8.5"/>
      <x:color rgb="FF6D7882"/>
      <x:name val="Malgun Gothic"/>
    </x:font>
    <x:font>
      <x:b/>
      <x:sz val="20"/>
      <x:color rgb="FF1E2124"/>
      <x:name val="Malgun Gothic"/>
    </x:font>
    <x:font>
      <x:b/>
      <x:sz val="20"/>
      <x:color rgb="FF246BEB"/>
      <x:name val="Malgun Gothic"/>
    </x:font>
    <x:font>
      <x:b/>
      <x:sz val="11"/>
      <x:color rgb="FF6D7882"/>
      <x:name val="Malgun Gothic"/>
    </x:font>
    <x:font>
      <x:b/>
      <x:sz val="9"/>
      <x:color rgb="FF246BEB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003675"/>
      </x:patternFill>
    </x:fill>
    <x:fill>
      <x:patternFill patternType="solid">
        <x:fgColor rgb="FFFFF5D6"/>
      </x:patternFill>
    </x:fill>
    <x:fill>
      <x:patternFill patternType="solid">
        <x:fgColor rgb="FFF4F5F6"/>
      </x:patternFill>
    </x:fill>
    <x:fill>
      <x:patternFill patternType="solid">
        <x:fgColor rgb="FFFFFFFF"/>
      </x:patternFill>
    </x:fill>
    <x:fill>
      <x:patternFill patternType="solid">
        <x:fgColor rgb="FFECF2FE"/>
      </x:patternFill>
    </x:fill>
    <x:fill>
      <x:patternFill patternType="solid">
        <x:fgColor rgb="FFF8F8F8"/>
      </x:patternFill>
    </x:fill>
  </x:fills>
  <x:borders count="36">
    <x:border>
      <x:left/>
      <x:right/>
      <x:top/>
      <x:bottom/>
      <x:diagonal/>
    </x:border>
    <x:border>
      <x:left/>
      <x:right/>
      <x:top style="medium">
        <x:color rgb="FF003675"/>
      </x:top>
      <x:bottom style="thin">
        <x:color rgb="FFCDD1D5"/>
      </x:bottom>
      <x:diagonal/>
    </x:border>
    <x:border>
      <x:left style="thick">
        <x:color rgb="FF246BEB"/>
      </x:left>
      <x:right/>
      <x:top style="thin">
        <x:color rgb="FFD3E1FB"/>
      </x:top>
      <x:bottom style="thin">
        <x:color rgb="FFD3E1FB"/>
      </x:bottom>
      <x:diagonal/>
    </x:border>
    <x:border>
      <x:left/>
      <x:right/>
      <x:top style="thin">
        <x:color rgb="FFD3E1FB"/>
      </x:top>
      <x:bottom style="thin">
        <x:color rgb="FFD3E1FB"/>
      </x:bottom>
      <x:diagonal/>
    </x:border>
    <x:border>
      <x:left/>
      <x:right style="thin">
        <x:color rgb="FFD3E1FB"/>
      </x:right>
      <x:top style="thin">
        <x:color rgb="FFD3E1FB"/>
      </x:top>
      <x:bottom style="thin">
        <x:color rgb="FFD3E1FB"/>
      </x:bottom>
      <x:diagonal/>
    </x:border>
    <x:border>
      <x:left style="thin">
        <x:color rgb="FFE6E8EA"/>
      </x:left>
      <x:right/>
      <x:top style="thin">
        <x:color rgb="FFE6E8EA"/>
      </x:top>
      <x:bottom/>
      <x:diagonal/>
    </x:border>
    <x:border>
      <x:left/>
      <x:right/>
      <x:top style="thin">
        <x:color rgb="FFE6E8EA"/>
      </x:top>
      <x:bottom/>
      <x:diagonal/>
    </x:border>
    <x:border>
      <x:left/>
      <x:right style="thin">
        <x:color rgb="FFE6E8EA"/>
      </x:right>
      <x:top style="thin">
        <x:color rgb="FFE6E8EA"/>
      </x:top>
      <x:bottom/>
      <x:diagonal/>
    </x:border>
    <x:border>
      <x:left style="thin">
        <x:color rgb="FFE6E8EA"/>
      </x:left>
      <x:right/>
      <x:top/>
      <x:bottom/>
      <x:diagonal/>
    </x:border>
    <x:border>
      <x:left/>
      <x:right style="thin">
        <x:color rgb="FFE6E8EA"/>
      </x:right>
      <x:top/>
      <x:bottom/>
      <x:diagonal/>
    </x:border>
    <x:border>
      <x:left style="thin">
        <x:color rgb="FFE6E8EA"/>
      </x:left>
      <x:right/>
      <x:top/>
      <x:bottom style="thin">
        <x:color rgb="FFE6E8EA"/>
      </x:bottom>
      <x:diagonal/>
    </x:border>
    <x:border>
      <x:left/>
      <x:right/>
      <x:top/>
      <x:bottom style="thin">
        <x:color rgb="FFE6E8EA"/>
      </x:bottom>
      <x:diagonal/>
    </x:border>
    <x:border>
      <x:left/>
      <x:right style="thin">
        <x:color rgb="FFE6E8EA"/>
      </x:right>
      <x:top/>
      <x:bottom style="thin">
        <x:color rgb="FFE6E8EA"/>
      </x:bottom>
      <x:diagonal/>
    </x:border>
    <x:border>
      <x:left style="thick">
        <x:color rgb="FF246BEB"/>
      </x:left>
      <x:right/>
      <x:top style="thin">
        <x:color rgb="FFE6E8EA"/>
      </x:top>
      <x:bottom/>
      <x:diagonal/>
    </x:border>
    <x:border>
      <x:left style="thick">
        <x:color rgb="FF246BEB"/>
      </x:left>
      <x:right/>
      <x:top/>
      <x:bottom/>
      <x:diagonal/>
    </x:border>
    <x:border>
      <x:left style="thick">
        <x:color rgb="FF246BEB"/>
      </x:left>
      <x:right/>
      <x:top/>
      <x:bottom style="thin">
        <x:color rgb="FFE6E8EA"/>
      </x:bottom>
      <x:diagonal/>
    </x:border>
    <x:border>
      <x:left style="thin">
        <x:color rgb="FFD3E1FB"/>
      </x:left>
      <x:right/>
      <x:top style="thin">
        <x:color rgb="FFD3E1FB"/>
      </x:top>
      <x:bottom/>
      <x:diagonal/>
    </x:border>
    <x:border>
      <x:left/>
      <x:right/>
      <x:top style="thin">
        <x:color rgb="FFD3E1FB"/>
      </x:top>
      <x:bottom/>
      <x:diagonal/>
    </x:border>
    <x:border>
      <x:left/>
      <x:right style="thin">
        <x:color rgb="FFD3E1FB"/>
      </x:right>
      <x:top style="thin">
        <x:color rgb="FFD3E1FB"/>
      </x:top>
      <x:bottom/>
      <x:diagonal/>
    </x:border>
    <x:border>
      <x:left style="thin">
        <x:color rgb="FFD3E1FB"/>
      </x:left>
      <x:right/>
      <x:top/>
      <x:bottom/>
      <x:diagonal/>
    </x:border>
    <x:border>
      <x:left/>
      <x:right style="thin">
        <x:color rgb="FFD3E1FB"/>
      </x:right>
      <x:top/>
      <x:bottom/>
      <x:diagonal/>
    </x:border>
    <x:border>
      <x:left style="thin">
        <x:color rgb="FFD3E1FB"/>
      </x:left>
      <x:right/>
      <x:top/>
      <x:bottom style="thin">
        <x:color rgb="FFD3E1FB"/>
      </x:bottom>
      <x:diagonal/>
    </x:border>
    <x:border>
      <x:left/>
      <x:right/>
      <x:top/>
      <x:bottom style="thin">
        <x:color rgb="FFD3E1FB"/>
      </x:bottom>
      <x:diagonal/>
    </x:border>
    <x:border>
      <x:left/>
      <x:right style="thin">
        <x:color rgb="FFD3E1FB"/>
      </x:right>
      <x:top/>
      <x:bottom style="thin">
        <x:color rgb="FFD3E1FB"/>
      </x:bottom>
      <x:diagonal/>
    </x:border>
    <x:border>
      <x:left style="thin">
        <x:color rgb="FFE6E8EA"/>
      </x:left>
      <x:right/>
      <x:top style="medium">
        <x:color rgb="FF003675"/>
      </x:top>
      <x:bottom/>
      <x:diagonal/>
    </x:border>
    <x:border>
      <x:left/>
      <x:right/>
      <x:top style="medium">
        <x:color rgb="FF003675"/>
      </x:top>
      <x:bottom/>
      <x:diagonal/>
    </x:border>
    <x:border>
      <x:left/>
      <x:right style="thin">
        <x:color rgb="FFE6E8EA"/>
      </x:right>
      <x:top style="medium">
        <x:color rgb="FF003675"/>
      </x:top>
      <x:bottom/>
      <x:diagonal/>
    </x:border>
    <x:border>
      <x:left style="thin">
        <x:color rgb="FFE6E8EA"/>
      </x:left>
      <x:right/>
      <x:top style="thin">
        <x:color rgb="FFE6E8EA"/>
      </x:top>
      <x:bottom style="thin">
        <x:color rgb="FFE6E8EA"/>
      </x:bottom>
      <x:diagonal/>
    </x:border>
    <x:border>
      <x:left/>
      <x:right/>
      <x:top style="thin">
        <x:color rgb="FFE6E8EA"/>
      </x:top>
      <x:bottom style="thin">
        <x:color rgb="FFE6E8EA"/>
      </x:bottom>
      <x:diagonal/>
    </x:border>
    <x:border>
      <x:left/>
      <x:right style="thin">
        <x:color rgb="FFE6E8EA"/>
      </x:right>
      <x:top style="thin">
        <x:color rgb="FFE6E8EA"/>
      </x:top>
      <x:bottom style="thin">
        <x:color rgb="FFE6E8EA"/>
      </x:bottom>
      <x:diagonal/>
    </x:border>
    <x:border>
      <x:left style="dashed">
        <x:color rgb="FFB1B8BE"/>
      </x:left>
      <x:right/>
      <x:top style="dashed">
        <x:color rgb="FFB1B8BE"/>
      </x:top>
      <x:bottom/>
      <x:diagonal/>
    </x:border>
    <x:border>
      <x:left/>
      <x:right/>
      <x:top style="dashed">
        <x:color rgb="FFB1B8BE"/>
      </x:top>
      <x:bottom/>
      <x:diagonal/>
    </x:border>
    <x:border>
      <x:left/>
      <x:right style="dashed">
        <x:color rgb="FFB1B8BE"/>
      </x:right>
      <x:top style="dashed">
        <x:color rgb="FFB1B8BE"/>
      </x:top>
      <x:bottom/>
      <x:diagonal/>
    </x:border>
    <x:border>
      <x:left style="dashed">
        <x:color rgb="FFB1B8BE"/>
      </x:left>
      <x:right/>
      <x:top/>
      <x:bottom style="dashed">
        <x:color rgb="FFB1B8BE"/>
      </x:bottom>
      <x:diagonal/>
    </x:border>
    <x:border>
      <x:left/>
      <x:right/>
      <x:top/>
      <x:bottom style="dashed">
        <x:color rgb="FFB1B8BE"/>
      </x:bottom>
      <x:diagonal/>
    </x:border>
    <x:border>
      <x:left/>
      <x:right style="dashed">
        <x:color rgb="FFB1B8BE"/>
      </x:right>
      <x:top/>
      <x:bottom style="dashed">
        <x:color rgb="FFB1B8BE"/>
      </x:bottom>
      <x:diagonal/>
    </x:border>
  </x:borders>
  <x:cellStyleXfs count="1">
    <x:xf numFmtId="0" fontId="0" fillId="0" borderId="0"/>
  </x:cellStyleXfs>
  <x:cellXfs count="17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1" fillId="5" borderId="12" xfId="0" applyNumberFormat="1" applyFont="1" applyFill="1" applyBorder="1" applyAlignment="1">
      <x:alignment vertical="center"/>
    </x:xf>
    <x:xf numFmtId="0" fontId="12" fillId="5" borderId="5" xfId="0" applyNumberFormat="1" applyFont="1" applyFill="1" applyBorder="1" applyAlignment="1">
      <x:alignment vertical="center"/>
    </x:xf>
    <x:xf numFmtId="0" fontId="12" fillId="5" borderId="6" xfId="0" applyNumberFormat="1" applyFont="1" applyFill="1" applyBorder="1" applyAlignment="1">
      <x:alignment vertical="center"/>
    </x:xf>
    <x:xf numFmtId="0" fontId="12" fillId="5" borderId="7" xfId="0" applyNumberFormat="1" applyFont="1" applyFill="1" applyBorder="1" applyAlignment="1">
      <x:alignment vertical="center"/>
    </x:xf>
    <x:xf numFmtId="0" fontId="13" fillId="5" borderId="8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0" fontId="13" fillId="5" borderId="9" xfId="0" applyNumberFormat="1" applyFont="1" applyFill="1" applyBorder="1" applyAlignment="1">
      <x:alignment vertical="center"/>
    </x:xf>
    <x:xf numFmtId="204" fontId="13" fillId="5" borderId="8" xfId="0" applyNumberFormat="1" applyFont="1" applyFill="1" applyBorder="1" applyAlignment="1">
      <x:alignment vertical="center"/>
    </x:xf>
    <x:xf numFmtId="0" fontId="14" fillId="5" borderId="10" xfId="0" applyNumberFormat="1" applyFont="1" applyFill="1" applyBorder="1" applyAlignment="1">
      <x:alignment vertical="center"/>
    </x:xf>
    <x:xf numFmtId="0" fontId="14" fillId="5" borderId="11" xfId="0" applyNumberFormat="1" applyFont="1" applyFill="1" applyBorder="1" applyAlignment="1">
      <x:alignment vertical="center"/>
    </x:xf>
    <x:xf numFmtId="0" fontId="14" fillId="5" borderId="12" xfId="0" applyNumberFormat="1" applyFont="1" applyFill="1" applyBorder="1" applyAlignment="1">
      <x:alignment vertical="center"/>
    </x:xf>
    <x:xf numFmtId="204" fontId="13" fillId="5" borderId="8" xfId="0" applyNumberFormat="1" applyFont="1" applyFill="1" applyBorder="1" applyAlignment="1">
      <x:alignment horizontal="left" vertical="center"/>
    </x:xf>
    <x:xf numFmtId="0" fontId="13" fillId="5" borderId="0" xfId="0" applyNumberFormat="1" applyFont="1" applyFill="1" applyBorder="1" applyAlignment="1">
      <x:alignment horizontal="left" vertical="center"/>
    </x:xf>
    <x:xf numFmtId="0" fontId="13" fillId="5" borderId="9" xfId="0" applyNumberFormat="1" applyFont="1" applyFill="1" applyBorder="1" applyAlignment="1">
      <x:alignment horizontal="left" vertical="center"/>
    </x:xf>
    <x:xf numFmtId="0" fontId="13" fillId="5" borderId="8" xfId="0" applyNumberFormat="1" applyFont="1" applyFill="1" applyBorder="1" applyAlignment="1">
      <x:alignment horizontal="left" vertical="center"/>
    </x:xf>
    <x:xf numFmtId="0" fontId="12" fillId="5" borderId="13" xfId="0" applyNumberFormat="1" applyFont="1" applyFill="1" applyBorder="1" applyAlignment="1">
      <x:alignment vertical="center"/>
    </x:xf>
    <x:xf numFmtId="204" fontId="13" fillId="5" borderId="14" xfId="0" applyNumberFormat="1" applyFont="1" applyFill="1" applyBorder="1" applyAlignment="1">
      <x:alignment horizontal="left" vertical="center"/>
    </x:xf>
    <x:xf numFmtId="0" fontId="13" fillId="5" borderId="14" xfId="0" applyNumberFormat="1" applyFont="1" applyFill="1" applyBorder="1" applyAlignment="1">
      <x:alignment horizontal="left" vertical="center"/>
    </x:xf>
    <x:xf numFmtId="0" fontId="14" fillId="5" borderId="15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5" fillId="2" borderId="0" xfId="0" applyNumberFormat="1" applyFont="1" applyFill="1" applyBorder="1" applyAlignment="1">
      <x:alignment vertical="center"/>
    </x:xf>
    <x:xf numFmtId="201" fontId="15" fillId="2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16" xfId="0" applyNumberFormat="1" applyFont="1" applyFill="1" applyBorder="1" applyAlignment="1">
      <x:alignment vertical="center"/>
    </x:xf>
    <x:xf numFmtId="0" fontId="1" fillId="6" borderId="17" xfId="0" applyNumberFormat="1" applyFont="1" applyFill="1" applyBorder="1" applyAlignment="1">
      <x:alignment vertical="center"/>
    </x:xf>
    <x:xf numFmtId="0" fontId="1" fillId="6" borderId="18" xfId="0" applyNumberFormat="1" applyFont="1" applyFill="1" applyBorder="1" applyAlignment="1">
      <x:alignment vertical="center"/>
    </x:xf>
    <x:xf numFmtId="0" fontId="1" fillId="6" borderId="19" xfId="0" applyNumberFormat="1" applyFont="1" applyFill="1" applyBorder="1" applyAlignment="1">
      <x:alignment vertical="center"/>
    </x:xf>
    <x:xf numFmtId="0" fontId="1" fillId="6" borderId="20" xfId="0" applyNumberFormat="1" applyFont="1" applyFill="1" applyBorder="1" applyAlignment="1">
      <x:alignment vertical="center"/>
    </x:xf>
    <x:xf numFmtId="0" fontId="1" fillId="6" borderId="21" xfId="0" applyNumberFormat="1" applyFont="1" applyFill="1" applyBorder="1" applyAlignment="1">
      <x:alignment vertical="center"/>
    </x:xf>
    <x:xf numFmtId="0" fontId="1" fillId="6" borderId="22" xfId="0" applyNumberFormat="1" applyFont="1" applyFill="1" applyBorder="1" applyAlignment="1">
      <x:alignment vertical="center"/>
    </x:xf>
    <x:xf numFmtId="0" fontId="1" fillId="6" borderId="23" xfId="0" applyNumberFormat="1" applyFont="1" applyFill="1" applyBorder="1" applyAlignment="1">
      <x:alignment vertical="center"/>
    </x:xf>
    <x:xf numFmtId="205" fontId="1" fillId="6" borderId="16" xfId="0" applyNumberFormat="1" applyFont="1" applyFill="1" applyBorder="1" applyAlignment="1">
      <x:alignment vertical="center"/>
    </x:xf>
    <x:xf numFmtId="205" fontId="16" fillId="6" borderId="16" xfId="0" applyNumberFormat="1" applyFont="1" applyFill="1" applyBorder="1" applyAlignment="1">
      <x:alignment vertical="center"/>
    </x:xf>
    <x:xf numFmtId="0" fontId="17" fillId="6" borderId="17" xfId="0" applyNumberFormat="1" applyFont="1" applyFill="1" applyBorder="1" applyAlignment="1">
      <x:alignment vertical="center"/>
    </x:xf>
    <x:xf numFmtId="0" fontId="17" fillId="6" borderId="18" xfId="0" applyNumberFormat="1" applyFont="1" applyFill="1" applyBorder="1" applyAlignment="1">
      <x:alignment vertical="center"/>
    </x:xf>
    <x:xf numFmtId="0" fontId="18" fillId="6" borderId="0" xfId="0" applyNumberFormat="1" applyFont="1" applyFill="1" applyBorder="1" applyAlignment="1">
      <x:alignment vertical="center"/>
    </x:xf>
    <x:xf numFmtId="0" fontId="18" fillId="6" borderId="20" xfId="0" applyNumberFormat="1" applyFont="1" applyFill="1" applyBorder="1" applyAlignment="1">
      <x:alignment vertical="center"/>
    </x:xf>
    <x:xf numFmtId="0" fontId="18" fillId="6" borderId="22" xfId="0" applyNumberFormat="1" applyFont="1" applyFill="1" applyBorder="1" applyAlignment="1">
      <x:alignment vertical="center"/>
    </x:xf>
    <x:xf numFmtId="0" fontId="18" fillId="6" borderId="23" xfId="0" applyNumberFormat="1" applyFont="1" applyFill="1" applyBorder="1" applyAlignment="1">
      <x:alignment vertical="center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20" xfId="0" applyNumberFormat="1" applyFont="1" applyFill="1" applyBorder="1" applyAlignment="1">
      <x:alignment vertical="center" wrapText="1"/>
    </x:xf>
    <x:xf numFmtId="0" fontId="18" fillId="6" borderId="22" xfId="0" applyNumberFormat="1" applyFont="1" applyFill="1" applyBorder="1" applyAlignment="1">
      <x:alignment vertical="center" wrapText="1"/>
    </x:xf>
    <x:xf numFmtId="0" fontId="18" fillId="6" borderId="23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top" wrapText="1"/>
    </x:xf>
    <x:xf numFmtId="0" fontId="18" fillId="6" borderId="20" xfId="0" applyNumberFormat="1" applyFont="1" applyFill="1" applyBorder="1" applyAlignment="1">
      <x:alignment vertical="top" wrapText="1"/>
    </x:xf>
    <x:xf numFmtId="0" fontId="18" fillId="6" borderId="22" xfId="0" applyNumberFormat="1" applyFont="1" applyFill="1" applyBorder="1" applyAlignment="1">
      <x:alignment vertical="top" wrapText="1"/>
    </x:xf>
    <x:xf numFmtId="0" fontId="18" fillId="6" borderId="23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4" borderId="24" xfId="0" applyNumberFormat="1" applyFont="1" applyFill="1" applyBorder="1" applyAlignment="1">
      <x:alignment vertical="center"/>
    </x:xf>
    <x:xf numFmtId="0" fontId="1" fillId="4" borderId="25" xfId="0" applyNumberFormat="1" applyFont="1" applyFill="1" applyBorder="1" applyAlignment="1">
      <x:alignment vertical="center"/>
    </x:xf>
    <x:xf numFmtId="0" fontId="1" fillId="4" borderId="26" xfId="0" applyNumberFormat="1" applyFont="1" applyFill="1" applyBorder="1" applyAlignment="1">
      <x:alignment vertical="center"/>
    </x:xf>
    <x:xf numFmtId="201" fontId="1" fillId="4" borderId="24" xfId="0" applyNumberFormat="1" applyFont="1" applyFill="1" applyBorder="1" applyAlignment="1">
      <x:alignment vertical="center"/>
    </x:xf>
    <x:xf numFmtId="201" fontId="1" fillId="2" borderId="24" xfId="0" applyNumberFormat="1" applyFont="1" applyFill="1" applyBorder="1" applyAlignment="1">
      <x:alignment vertical="center"/>
    </x:xf>
    <x:xf numFmtId="201" fontId="15" fillId="2" borderId="24" xfId="0" applyNumberFormat="1" applyFont="1" applyFill="1" applyBorder="1" applyAlignment="1">
      <x:alignment vertical="center"/>
    </x:xf>
    <x:xf numFmtId="201" fontId="15" fillId="2" borderId="24" xfId="0" applyNumberFormat="1" applyFont="1" applyFill="1" applyBorder="1" applyAlignment="1">
      <x:alignment horizontal="center" vertical="center"/>
    </x:xf>
    <x:xf numFmtId="0" fontId="19" fillId="4" borderId="25" xfId="0" applyNumberFormat="1" applyFont="1" applyFill="1" applyBorder="1" applyAlignment="1">
      <x:alignment vertical="center"/>
    </x:xf>
    <x:xf numFmtId="0" fontId="19" fillId="4" borderId="26" xfId="0" applyNumberFormat="1" applyFont="1" applyFill="1" applyBorder="1" applyAlignment="1">
      <x:alignment vertical="center"/>
    </x:xf>
    <x:xf numFmtId="0" fontId="20" fillId="4" borderId="8" xfId="0" applyNumberFormat="1" applyFont="1" applyFill="1" applyBorder="1" applyAlignment="1">
      <x:alignment vertical="center"/>
    </x:xf>
    <x:xf numFmtId="0" fontId="20" fillId="4" borderId="0" xfId="0" applyNumberFormat="1" applyFont="1" applyFill="1" applyBorder="1" applyAlignment="1">
      <x:alignment vertical="center"/>
    </x:xf>
    <x:xf numFmtId="0" fontId="20" fillId="4" borderId="9" xfId="0" applyNumberFormat="1" applyFont="1" applyFill="1" applyBorder="1" applyAlignment="1">
      <x:alignment vertical="center"/>
    </x:xf>
    <x:xf numFmtId="0" fontId="9" fillId="5" borderId="8" xfId="0" applyNumberFormat="1" applyFont="1" applyFill="1" applyBorder="1" applyAlignment="1">
      <x:alignment vertical="center"/>
    </x:xf>
    <x:xf numFmtId="0" fontId="9" fillId="5" borderId="9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21" fillId="5" borderId="10" xfId="0" applyNumberFormat="1" applyFont="1" applyFill="1" applyBorder="1" applyAlignment="1">
      <x:alignment vertical="center"/>
    </x:xf>
    <x:xf numFmtId="0" fontId="21" fillId="5" borderId="11" xfId="0" applyNumberFormat="1" applyFont="1" applyFill="1" applyBorder="1" applyAlignment="1">
      <x:alignment vertical="center"/>
    </x:xf>
    <x:xf numFmtId="0" fontId="21" fillId="5" borderId="12" xfId="0" applyNumberFormat="1" applyFont="1" applyFill="1" applyBorder="1" applyAlignment="1">
      <x:alignment vertical="center"/>
    </x:xf>
    <x:xf numFmtId="0" fontId="21" fillId="5" borderId="27" xfId="0" applyNumberFormat="1" applyFont="1" applyFill="1" applyBorder="1" applyAlignment="1">
      <x:alignment vertical="center"/>
    </x:xf>
    <x:xf numFmtId="0" fontId="21" fillId="5" borderId="28" xfId="0" applyNumberFormat="1" applyFont="1" applyFill="1" applyBorder="1" applyAlignment="1">
      <x:alignment vertical="center"/>
    </x:xf>
    <x:xf numFmtId="0" fontId="21" fillId="5" borderId="29" xfId="0" applyNumberFormat="1" applyFont="1" applyFill="1" applyBorder="1" applyAlignment="1">
      <x:alignment vertical="center"/>
    </x:xf>
    <x:xf numFmtId="0" fontId="21" fillId="5" borderId="27" xfId="0" applyNumberFormat="1" applyFont="1" applyFill="1" applyBorder="1" applyAlignment="1">
      <x:alignment vertical="center" wrapText="1"/>
    </x:xf>
    <x:xf numFmtId="0" fontId="21" fillId="5" borderId="28" xfId="0" applyNumberFormat="1" applyFont="1" applyFill="1" applyBorder="1" applyAlignment="1">
      <x:alignment vertical="center" wrapText="1"/>
    </x:xf>
    <x:xf numFmtId="0" fontId="21" fillId="5" borderId="29" xfId="0" applyNumberFormat="1" applyFont="1" applyFill="1" applyBorder="1" applyAlignment="1">
      <x:alignment vertical="center" wrapText="1"/>
    </x:xf>
    <x:xf numFmtId="0" fontId="12" fillId="5" borderId="8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22" fillId="5" borderId="8" xfId="0" applyNumberFormat="1" applyFont="1" applyFill="1" applyBorder="1" applyAlignment="1">
      <x:alignment vertical="center"/>
    </x:xf>
    <x:xf numFmtId="0" fontId="22" fillId="5" borderId="0" xfId="0" applyNumberFormat="1" applyFont="1" applyFill="1" applyBorder="1" applyAlignment="1">
      <x:alignment vertical="center"/>
    </x:xf>
    <x:xf numFmtId="0" fontId="22" fillId="5" borderId="8" xfId="0" applyNumberFormat="1" applyFont="1" applyFill="1" applyBorder="1" applyAlignment="1">
      <x:alignment horizontal="left" vertical="center"/>
    </x:xf>
    <x:xf numFmtId="0" fontId="22" fillId="5" borderId="0" xfId="0" applyNumberFormat="1" applyFont="1" applyFill="1" applyBorder="1" applyAlignment="1">
      <x:alignment horizontal="left" vertical="center"/>
    </x:xf>
    <x:xf numFmtId="0" fontId="14" fillId="5" borderId="8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/>
    </x:xf>
    <x:xf numFmtId="204" fontId="22" fillId="5" borderId="8" xfId="0" applyNumberFormat="1" applyFont="1" applyFill="1" applyBorder="1" applyAlignment="1">
      <x:alignment horizontal="left" vertical="center"/>
    </x:xf>
    <x:xf numFmtId="204" fontId="22" fillId="5" borderId="0" xfId="0" applyNumberFormat="1" applyFont="1" applyFill="1" applyBorder="1" applyAlignment="1">
      <x:alignment horizontal="left" vertical="center"/>
    </x:xf>
    <x:xf numFmtId="0" fontId="12" fillId="5" borderId="9" xfId="0" applyNumberFormat="1" applyFont="1" applyFill="1" applyBorder="1" applyAlignment="1">
      <x:alignment vertical="center"/>
    </x:xf>
    <x:xf numFmtId="0" fontId="23" fillId="5" borderId="0" xfId="0" applyNumberFormat="1" applyFont="1" applyFill="1" applyBorder="1" applyAlignment="1">
      <x:alignment vertical="center"/>
    </x:xf>
    <x:xf numFmtId="0" fontId="23" fillId="5" borderId="9" xfId="0" applyNumberFormat="1" applyFont="1" applyFill="1" applyBorder="1" applyAlignment="1">
      <x:alignment vertical="center"/>
    </x:xf>
    <x:xf numFmtId="0" fontId="23" fillId="5" borderId="0" xfId="0" applyNumberFormat="1" applyFont="1" applyFill="1" applyBorder="1" applyAlignment="1">
      <x:alignment horizontal="left" vertical="center"/>
    </x:xf>
    <x:xf numFmtId="0" fontId="23" fillId="5" borderId="9" xfId="0" applyNumberFormat="1" applyFont="1" applyFill="1" applyBorder="1" applyAlignment="1">
      <x:alignment horizontal="left" vertical="center"/>
    </x:xf>
    <x:xf numFmtId="0" fontId="14" fillId="5" borderId="9" xfId="0" applyNumberFormat="1" applyFont="1" applyFill="1" applyBorder="1" applyAlignment="1">
      <x:alignment vertical="center"/>
    </x:xf>
    <x:xf numFmtId="206" fontId="23" fillId="5" borderId="0" xfId="0" applyNumberFormat="1" applyFont="1" applyFill="1" applyBorder="1" applyAlignment="1">
      <x:alignment horizontal="left" vertical="center"/>
    </x:xf>
    <x:xf numFmtId="206" fontId="23" fillId="5" borderId="9" xfId="0" applyNumberFormat="1" applyFont="1" applyFill="1" applyBorder="1" applyAlignment="1">
      <x:alignment horizontal="left" vertical="center"/>
    </x:xf>
    <x:xf numFmtId="207" fontId="22" fillId="5" borderId="8" xfId="0" applyNumberFormat="1" applyFont="1" applyFill="1" applyBorder="1" applyAlignment="1">
      <x:alignment horizontal="left" vertical="center"/>
    </x:xf>
    <x:xf numFmtId="207" fontId="22" fillId="5" borderId="0" xfId="0" applyNumberFormat="1" applyFont="1" applyFill="1" applyBorder="1" applyAlignment="1">
      <x:alignment horizontal="left" vertical="center"/>
    </x:xf>
    <x:xf numFmtId="0" fontId="22" fillId="5" borderId="9" xfId="0" applyNumberFormat="1" applyFont="1" applyFill="1" applyBorder="1" applyAlignment="1">
      <x:alignment vertical="center"/>
    </x:xf>
    <x:xf numFmtId="0" fontId="22" fillId="5" borderId="9" xfId="0" applyNumberFormat="1" applyFont="1" applyFill="1" applyBorder="1" applyAlignment="1">
      <x:alignment horizontal="left" vertical="center"/>
    </x:xf>
    <x:xf numFmtId="204" fontId="22" fillId="5" borderId="9" xfId="0" applyNumberFormat="1" applyFont="1" applyFill="1" applyBorder="1" applyAlignment="1">
      <x:alignment horizontal="left" vertical="center"/>
    </x:xf>
    <x:xf numFmtId="0" fontId="1" fillId="7" borderId="8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2" fillId="7" borderId="8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24" fillId="7" borderId="8" xfId="0" applyNumberFormat="1" applyFont="1" applyFill="1" applyBorder="1" applyAlignment="1">
      <x:alignment vertical="center"/>
    </x:xf>
    <x:xf numFmtId="0" fontId="24" fillId="7" borderId="0" xfId="0" applyNumberFormat="1" applyFont="1" applyFill="1" applyBorder="1" applyAlignment="1">
      <x:alignment vertical="center"/>
    </x:xf>
    <x:xf numFmtId="0" fontId="12" fillId="7" borderId="30" xfId="0" applyNumberFormat="1" applyFont="1" applyFill="1" applyBorder="1" applyAlignment="1">
      <x:alignment vertical="center"/>
    </x:xf>
    <x:xf numFmtId="0" fontId="12" fillId="7" borderId="31" xfId="0" applyNumberFormat="1" applyFont="1" applyFill="1" applyBorder="1" applyAlignment="1">
      <x:alignment vertical="center"/>
    </x:xf>
    <x:xf numFmtId="0" fontId="12" fillId="7" borderId="32" xfId="0" applyNumberFormat="1" applyFont="1" applyFill="1" applyBorder="1" applyAlignment="1">
      <x:alignment vertical="center"/>
    </x:xf>
    <x:xf numFmtId="0" fontId="24" fillId="7" borderId="33" xfId="0" applyNumberFormat="1" applyFont="1" applyFill="1" applyBorder="1" applyAlignment="1">
      <x:alignment vertical="center"/>
    </x:xf>
    <x:xf numFmtId="0" fontId="24" fillId="7" borderId="34" xfId="0" applyNumberFormat="1" applyFont="1" applyFill="1" applyBorder="1" applyAlignment="1">
      <x:alignment vertical="center"/>
    </x:xf>
    <x:xf numFmtId="0" fontId="24" fillId="7" borderId="35" xfId="0" applyNumberFormat="1" applyFont="1" applyFill="1" applyBorder="1" applyAlignment="1">
      <x:alignment vertical="center"/>
    </x:xf>
    <x:xf numFmtId="0" fontId="1" fillId="7" borderId="9" xfId="0" applyNumberFormat="1" applyFont="1" applyFill="1" applyBorder="1" applyAlignment="1">
      <x:alignment vertical="center"/>
    </x:xf>
    <x:xf numFmtId="0" fontId="12" fillId="7" borderId="9" xfId="0" applyNumberFormat="1" applyFont="1" applyFill="1" applyBorder="1" applyAlignment="1">
      <x:alignment vertical="center"/>
    </x:xf>
    <x:xf numFmtId="0" fontId="24" fillId="7" borderId="9" xfId="0" applyNumberFormat="1" applyFont="1" applyFill="1" applyBorder="1" applyAlignment="1">
      <x:alignment vertical="center"/>
    </x:xf>
    <x:xf numFmtId="0" fontId="1" fillId="5" borderId="25" xfId="0" applyNumberFormat="1" applyFont="1" applyFill="1" applyBorder="1" applyAlignment="1">
      <x:alignment vertical="center"/>
    </x:xf>
    <x:xf numFmtId="0" fontId="14" fillId="5" borderId="25" xfId="0" applyNumberFormat="1" applyFont="1" applyFill="1" applyBorder="1" applyAlignment="1">
      <x:alignment vertical="center"/>
    </x:xf>
    <x:xf numFmtId="0" fontId="14" fillId="5" borderId="25" xfId="0" applyNumberFormat="1" applyFont="1" applyFill="1" applyBorder="1" applyAlignment="1">
      <x:alignment vertical="center" wrapText="1"/>
    </x:xf>
    <x:xf numFmtId="0" fontId="25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79838f09049dc" /><Relationship Type="http://schemas.openxmlformats.org/officeDocument/2006/relationships/theme" Target="/xl/theme/theme1.xml" Id="R7bed36b10a204c90" /><Relationship Type="http://schemas.openxmlformats.org/officeDocument/2006/relationships/sharedStrings" Target="/xl/sharedStrings.xml" Id="R2a6e01c9c55d4947" /><Relationship Type="http://schemas.openxmlformats.org/officeDocument/2006/relationships/worksheet" Target="/xl/worksheets/sheet1.xml" Id="Rb9fa9150c1c04294" /><Relationship Type="http://schemas.openxmlformats.org/officeDocument/2006/relationships/worksheet" Target="/xl/worksheets/sheet2.xml" Id="R4adc4a8994664e14" /><Relationship Type="http://schemas.openxmlformats.org/officeDocument/2006/relationships/worksheet" Target="/xl/worksheets/sheet3.xml" Id="R285928f64f324ee3" /><Relationship Type="http://schemas.openxmlformats.org/officeDocument/2006/relationships/worksheet" Target="/xl/worksheets/sheet4.xml" Id="Rf3913bf229b94293" /><Relationship Type="http://schemas.openxmlformats.org/officeDocument/2006/relationships/worksheet" Target="/xl/worksheets/sheet5.xml" Id="R757bdf1763e94e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95fa8333394f66" /><Relationship Type="http://schemas.openxmlformats.org/officeDocument/2006/relationships/chart" Target="/xl/drawings/charts/chart2.xml" Id="R28f667fe5e5b40d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최초 버전</c:v>
          </c:tx>
          <c:spPr>
            <a:solidFill xmlns:a="http://schemas.openxmlformats.org/drawingml/2006/main">
              <a:srgbClr val="246BEB"/>
            </a:solidFill>
          </c:spPr>
          <c:invertIfNegative val="0"/>
          <c:cat>
            <c:strRef>
              <c:f>'통계'!$D$7:$D$18</c:f>
              <c:strCache>
                <c:ptCount val="0"/>
              </c:strCache>
            </c:strRef>
          </c:cat>
          <c:val>
            <c:numRef>
              <c:f>'통계'!$E$7:$E$18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개정 버전</c:v>
          </c:tx>
          <c:spPr>
            <a:solidFill xmlns:a="http://schemas.openxmlformats.org/drawingml/2006/main">
              <a:srgbClr val="003675"/>
            </a:solidFill>
          </c:spPr>
          <c:invertIfNegative val="0"/>
          <c:cat>
            <c:strRef>
              <c:f>'통계'!$D$7:$D$18</c:f>
              <c:strCache>
                <c:ptCount val="0"/>
              </c:strCache>
            </c:strRef>
          </c:cat>
          <c:val>
            <c:numRef>
              <c:f>'통계'!$F$7:$F$18</c:f>
              <c:numCache>
                <c:formatCode>0</c:formatCode>
                <c:ptCount val="0"/>
              </c:numCache>
            </c:numRef>
          </c:val>
        </c:ser>
        <c:dLbls>
          <c:numFmt formatCode="0;-0;;" sourceLinked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600">
                  <a:latin typeface="Malgun Gothic"/>
                  <a:ea typeface="Malgun Gothic"/>
                  <a:cs typeface="Malgun Gothic"/>
                </a:defRPr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6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방법론</c:v>
          </c:tx>
          <c:spPr>
            <a:solidFill xmlns:a="http://schemas.openxmlformats.org/drawingml/2006/main">
              <a:srgbClr val="246BEB"/>
            </a:solidFill>
          </c:spPr>
          <c:invertIfNegative val="0"/>
          <c:cat>
            <c:strRef>
              <c:f>'통계'!$M$7:$M$9</c:f>
              <c:strCache>
                <c:ptCount val="0"/>
              </c:strCache>
            </c:strRef>
          </c:cat>
          <c:val>
            <c:numRef>
              <c:f>'통계'!$N$7:$N$9</c:f>
              <c:numCache>
                <c:formatCode>0</c:formatCode>
                <c:ptCount val="0"/>
              </c:numCache>
            </c:numRef>
          </c:val>
        </c:ser>
        <c:dLbls>
          <c:numFmt formatCode="0;-0;;" sourceLinked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600">
                  <a:latin typeface="Malgun Gothic"/>
                  <a:ea typeface="Malgun Gothic"/>
                  <a:cs typeface="Malgun Gothic"/>
                </a:defRPr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6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21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95fa8333394f66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f667fe5e5b40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blicMethods" displayName="PublicMethods" ref="A6:M39" headerRowCount="1" totalsRowCount="0" totalsRowShown="0">
  <x:tableColumns count="13">
    <x:tableColumn id="1" name="코드"/>
    <x:tableColumn id="2" name="방법론명"/>
    <x:tableColumn id="3" name="분야 원문"/>
    <x:tableColumn id="4" name="등록형태"/>
    <x:tableColumn id="5" name="공개 출처"/>
    <x:tableColumn id="6" name="최신 유효시작일"/>
    <x:tableColumn id="7" name="최신 버전"/>
    <x:tableColumn id="8" name="최초 버전 유효시작일"/>
    <x:tableColumn id="9" name="개정 이력 수"/>
    <x:tableColumn id="10" name="확인 버전 수"/>
    <x:tableColumn id="11" name="최신 버전 경과일"/>
    <x:tableColumn id="12" name="포함"/>
    <x:tableColumn id="13" name="장기 관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Versions" displayName="PublicVersions" ref="A6:O46" headerRowCount="1" totalsRowCount="0" totalsRowShown="0">
  <x:tableColumns count="15">
    <x:tableColumn id="1" name="버전 ID"/>
    <x:tableColumn id="2" name="방법론 코드"/>
    <x:tableColumn id="3" name="버전"/>
    <x:tableColumn id="4" name="구분"/>
    <x:tableColumn id="5" name="유효시작일"/>
    <x:tableColumn id="6" name="방법론명"/>
    <x:tableColumn id="7" name="공개 출처"/>
    <x:tableColumn id="8" name="버전 번호"/>
    <x:tableColumn id="9" name="상한일 이내"/>
    <x:tableColumn id="10" name="방법론 포함"/>
    <x:tableColumn id="11" name="포함"/>
    <x:tableColumn id="12" name="유효시작 연도"/>
    <x:tableColumn id="13" name="최근 변경"/>
    <x:tableColumn id="14" name="선택연도 동기간"/>
    <x:tableColumn id="15" name="전년 동기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cb092905e84b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4de08af558448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c77aed407184ad9" /></Relationships>
</file>

<file path=xl/worksheets/sheet1.xml><?xml version="1.0" encoding="utf-8"?>
<x:worksheet xmlns:x="http://schemas.openxmlformats.org/spreadsheetml/2006/main">
  <x:sheetPr>
    <x:tabColor rgb="FF00367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" hidden="0" customWidth="1"/>
    <x:col min="2" max="2" width="5.880000114440918" hidden="0" customWidth="1"/>
    <x:col min="3" max="3" width="5.880000114440918" hidden="0" customWidth="1"/>
    <x:col min="4" max="4" width="5.880000114440918" hidden="0" customWidth="1"/>
    <x:col min="5" max="5" width="5.880000114440918" hidden="0" customWidth="1"/>
    <x:col min="6" max="6" width="5.880000114440918" hidden="0" customWidth="1"/>
    <x:col min="7" max="7" width="5.880000114440918" hidden="0" customWidth="1"/>
    <x:col min="8" max="8" width="5.880000114440918" hidden="0" customWidth="1"/>
    <x:col min="9" max="9" width="5.880000114440918" hidden="0" customWidth="1"/>
    <x:col min="10" max="10" width="5.880000114440918" hidden="0" customWidth="1"/>
    <x:col min="11" max="11" width="5.880000114440918" hidden="0" customWidth="1"/>
    <x:col min="12" max="12" width="5.880000114440918" hidden="0" customWidth="1"/>
    <x:col min="13" max="13" width="5.880000114440918" hidden="0" customWidth="1"/>
    <x:col min="14" max="14" width="5.880000114440918" hidden="0" customWidth="1"/>
    <x:col min="15" max="15" width="5.880000114440918" hidden="0" customWidth="1"/>
    <x:col min="16" max="16" width="5.880000114440918" hidden="0" customWidth="1"/>
    <x:col min="17" max="17" width="5.880000114440918" hidden="0" customWidth="1"/>
    <x:col min="18" max="18" width="5.880000114440918" hidden="0" customWidth="1"/>
    <x:col min="19" max="19" width="5.880000114440918" hidden="0" customWidth="1"/>
    <x:col min="20" max="20" width="5.880000114440918" hidden="0" customWidth="1"/>
    <x:col min="21" max="21" width="5.880000114440918" hidden="0" customWidth="1"/>
    <x:col min="22" max="22" width="5.880000114440918" hidden="0" customWidth="1"/>
    <x:col min="23" max="23" width="5.880000114440918" hidden="0" customWidth="1"/>
    <x:col min="24" max="24" width="3" hidden="0" customWidth="1"/>
  </x:cols>
  <x:sheetData>
    <x:row r="1" ht="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18" customHeight="1">
      <x:c r="A2" s="3"/>
      <x:c r="B2" s="29" t="str">
        <x:v>PUBLIC DATA  ·  방법론 인사이트</x:v>
      </x:c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3"/>
    </x:row>
    <x:row r="3" ht="30" customHeight="1">
      <x:c r="A3" s="3"/>
      <x:c r="B3" s="30" t="str">
        <x:v>공개 방법론의 흐름과 변화</x:v>
      </x:c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"/>
    </x:row>
    <x:row r="4" ht="18" customHeight="1">
      <x:c r="A4" s="3"/>
      <x:c r="B4" s="31" t="str">
        <x:v>ORS 공개 실자료  ·  2026-10-14 확인  ·  선택한 33개 코드의 확인분  ·  단위는 각 수치 옆에 표시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"/>
    </x:row>
    <x:row r="5" ht="6" customHeight="1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</x:row>
    <x:row r="6" ht="30" customHeight="1">
      <x:c r="A6" s="28"/>
      <x:c r="B6" s="38" t="str">
        <x:f>"  "&amp;(IF('통계'!B7=0,"선택한 조건에 해당하는 공개 방법론이 없어 조건을 넓혀 확인해야 합니다.","공개 방법론 "&amp;'통계'!B7&amp;"개 중 "&amp;'통계'!B9&amp;"개("&amp;TEXT('통계'!B14,"0.0%")&amp;")가 개정됐고, 최근 "&amp;'분석조건'!B11&amp;"일 변경은 "&amp;'통계'!B12&amp;"개 버전입니다."))</x:f>
        <x:v>  공개 방법론 33개 중 6개(18.2%)가 개정됐고, 최근 365일 변경은 4개 버전입니다.</x:v>
      </x:c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7"/>
      <x:c r="X6" s="28"/>
    </x:row>
    <x:row r="7" ht="18" customHeight="1">
      <x:c r="A7" s="28"/>
      <x:c r="B7" s="39" t="str">
        <x:f>"적용 조건   분야 "&amp;IF('분석조건'!B7="all","전체",'분석조건'!B7)&amp;"  ·  등록형태 "&amp;IF('분석조건'!B8="all","전체",'분석조건'!B8)&amp;"  ·  개정 경험 "&amp;IF('분석조건'!B9="all","전체",IF('분석조건'!B9="revised","있음","없음"))&amp;"  ·  비교연도 "&amp;'분석조건'!B6&amp;"년  ·  유효시작일 ≤ "&amp;TEXT('분석조건'!B5,"yyyy-mm-dd")&amp;"     |  조건 변경: 분석조건 시트의 노란 칸"</x:f>
        <x:v>적용 조건   분야 전체  ·  등록형태 전체  ·  개정 경험 전체  ·  비교연도 2026년  ·  유효시작일 ≤ 2026-10-14     |  조건 변경: 분석조건 시트의 노란 칸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28"/>
    </x:row>
    <x:row r="8" ht="10" customHeight="1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</x:row>
    <x:row r="9" ht="22" customHeight="1">
      <x:c r="A9" s="28"/>
      <x:c r="B9" s="62" t="str">
        <x:v>  공개 확인 방법론</x:v>
      </x:c>
      <x:c r="C9" s="49"/>
      <x:c r="D9" s="49"/>
      <x:c r="E9" s="50"/>
      <x:c r="F9" s="62" t="str">
        <x:v>  공개 버전 이력</x:v>
      </x:c>
      <x:c r="G9" s="49"/>
      <x:c r="H9" s="49"/>
      <x:c r="I9" s="50"/>
      <x:c r="J9" s="62" t="str">
        <x:v>  개정 경험 방법론</x:v>
      </x:c>
      <x:c r="K9" s="49"/>
      <x:c r="L9" s="49"/>
      <x:c r="M9" s="50"/>
      <x:c r="N9" s="62" t="str">
        <x:f>"  "&amp;('분석조건'!B6&amp;" 최초 버전")</x:f>
        <x:v>  2026 최초 버전</x:v>
      </x:c>
      <x:c r="O9" s="49"/>
      <x:c r="P9" s="49"/>
      <x:c r="Q9" s="50"/>
      <x:c r="R9" s="62" t="str">
        <x:f>"  "&amp;('분석조건'!B6&amp;" 개정 버전")</x:f>
        <x:v>  2026 개정 버전</x:v>
      </x:c>
      <x:c r="S9" s="49"/>
      <x:c r="T9" s="50"/>
      <x:c r="U9" s="62" t="str">
        <x:f>"  "&amp;("최근 "&amp;'분석조건'!B11&amp;"일 변경")</x:f>
        <x:v>  최근 365일 변경</x:v>
      </x:c>
      <x:c r="V9" s="49"/>
      <x:c r="W9" s="50"/>
      <x:c r="X9" s="28"/>
    </x:row>
    <x:row r="10" ht="22" customHeight="1">
      <x:c r="A10" s="28"/>
      <x:c r="B10" s="63" t="n">
        <x:f>'통계'!B7</x:f>
        <x:v>33</x:v>
      </x:c>
      <x:c r="C10" s="59"/>
      <x:c r="D10" s="59"/>
      <x:c r="E10" s="60"/>
      <x:c r="F10" s="63" t="n">
        <x:f>'통계'!B8</x:f>
        <x:v>40</x:v>
      </x:c>
      <x:c r="G10" s="59"/>
      <x:c r="H10" s="59"/>
      <x:c r="I10" s="60"/>
      <x:c r="J10" s="63" t="n">
        <x:f>'통계'!B9</x:f>
        <x:v>6</x:v>
      </x:c>
      <x:c r="K10" s="59"/>
      <x:c r="L10" s="59"/>
      <x:c r="M10" s="60"/>
      <x:c r="N10" s="63" t="n">
        <x:f>'통계'!B10</x:f>
        <x:v>0</x:v>
      </x:c>
      <x:c r="O10" s="59"/>
      <x:c r="P10" s="59"/>
      <x:c r="Q10" s="60"/>
      <x:c r="R10" s="63" t="n">
        <x:f>'통계'!B11</x:f>
        <x:v>2</x:v>
      </x:c>
      <x:c r="S10" s="59"/>
      <x:c r="T10" s="60"/>
      <x:c r="U10" s="63" t="n">
        <x:f>'통계'!B12</x:f>
        <x:v>4</x:v>
      </x:c>
      <x:c r="V10" s="59"/>
      <x:c r="W10" s="60"/>
      <x:c r="X10" s="28"/>
    </x:row>
    <x:row r="11" ht="22" customHeight="1">
      <x:c r="A11" s="28"/>
      <x:c r="B11" s="64"/>
      <x:c r="C11" s="59"/>
      <x:c r="D11" s="59"/>
      <x:c r="E11" s="60"/>
      <x:c r="F11" s="64"/>
      <x:c r="G11" s="59"/>
      <x:c r="H11" s="59"/>
      <x:c r="I11" s="60"/>
      <x:c r="J11" s="64"/>
      <x:c r="K11" s="59"/>
      <x:c r="L11" s="59"/>
      <x:c r="M11" s="60"/>
      <x:c r="N11" s="64"/>
      <x:c r="O11" s="59"/>
      <x:c r="P11" s="59"/>
      <x:c r="Q11" s="60"/>
      <x:c r="R11" s="64"/>
      <x:c r="S11" s="59"/>
      <x:c r="T11" s="60"/>
      <x:c r="U11" s="64"/>
      <x:c r="V11" s="59"/>
      <x:c r="W11" s="60"/>
      <x:c r="X11" s="28"/>
    </x:row>
    <x:row r="12" ht="22" customHeight="1">
      <x:c r="A12" s="28"/>
      <x:c r="B12" s="65" t="str">
        <x:v>  방법론 · 선택 코드 확인분</x:v>
      </x:c>
      <x:c r="C12" s="56"/>
      <x:c r="D12" s="56"/>
      <x:c r="E12" s="57"/>
      <x:c r="F12" s="65" t="str">
        <x:v>  버전 · 최초·개정 버전 분리</x:v>
      </x:c>
      <x:c r="G12" s="56"/>
      <x:c r="H12" s="56"/>
      <x:c r="I12" s="57"/>
      <x:c r="J12" s="65" t="str">
        <x:v>  방법론 · 개정 이력 1회 이상</x:v>
      </x:c>
      <x:c r="K12" s="56"/>
      <x:c r="L12" s="56"/>
      <x:c r="M12" s="57"/>
      <x:c r="N12" s="65" t="str">
        <x:v>  버전 · 유효시작일 기준</x:v>
      </x:c>
      <x:c r="O12" s="56"/>
      <x:c r="P12" s="56"/>
      <x:c r="Q12" s="57"/>
      <x:c r="R12" s="65" t="str">
        <x:v>  버전 · 유효시작일 기준</x:v>
      </x:c>
      <x:c r="S12" s="56"/>
      <x:c r="T12" s="57"/>
      <x:c r="U12" s="65" t="str">
        <x:v>  버전 · 유효시작일</x:v>
      </x:c>
      <x:c r="V12" s="56"/>
      <x:c r="W12" s="57"/>
      <x:c r="X12" s="28"/>
    </x:row>
    <x:row r="13" ht="12" customHeight="1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</x:row>
    <x:row r="14" ht="18" customHeight="1">
      <x:c r="A14" s="28"/>
      <x:c r="B14" s="69" t="n">
        <x:v>0</x:v>
      </x:c>
      <x:c r="C14" s="70" t="str">
        <x:v>핵심 요약</x:v>
      </x:c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28"/>
    </x:row>
    <x:row r="15" ht="22" customHeight="1">
      <x:c r="A15" s="28"/>
      <x:c r="B15" s="81" t="n">
        <x:v>1</x:v>
      </x:c>
      <x:c r="C15" s="82" t="str">
        <x:v>구성</x:v>
      </x:c>
      <x:c r="D15" s="82"/>
      <x:c r="E15" s="82"/>
      <x:c r="F15" s="82"/>
      <x:c r="G15" s="82"/>
      <x:c r="H15" s="83"/>
      <x:c r="I15" s="28"/>
      <x:c r="J15" s="81" t="n">
        <x:v>2</x:v>
      </x:c>
      <x:c r="K15" s="82" t="str">
        <x:v>집중도</x:v>
      </x:c>
      <x:c r="L15" s="82"/>
      <x:c r="M15" s="82"/>
      <x:c r="N15" s="82"/>
      <x:c r="O15" s="82"/>
      <x:c r="P15" s="83"/>
      <x:c r="Q15" s="28"/>
      <x:c r="R15" s="81" t="n">
        <x:v>3</x:v>
      </x:c>
      <x:c r="S15" s="82" t="str">
        <x:v>다음 확인</x:v>
      </x:c>
      <x:c r="T15" s="82"/>
      <x:c r="U15" s="82"/>
      <x:c r="V15" s="82"/>
      <x:c r="W15" s="83"/>
      <x:c r="X15" s="28"/>
    </x:row>
    <x:row r="16" ht="22" customHeight="1">
      <x:c r="A16" s="28"/>
      <x:c r="B16" s="75"/>
      <x:c r="C16" s="92" t="str">
        <x:f>"방법론 "&amp;'통계'!B7&amp;"개에 버전 "&amp;'통계'!B8&amp;"개가 연결되며, 개정 경험은 "&amp;TEXT('통계'!B14,"0.0%")&amp;"입니다."</x:f>
        <x:v>방법론 33개에 버전 40개가 연결되며, 개정 경험은 18.2%입니다.</x:v>
      </x:c>
      <x:c r="D16" s="92"/>
      <x:c r="E16" s="92"/>
      <x:c r="F16" s="92"/>
      <x:c r="G16" s="92"/>
      <x:c r="H16" s="93"/>
      <x:c r="I16" s="28"/>
      <x:c r="J16" s="75"/>
      <x:c r="K16" s="92" t="str">
        <x:f>"상위 3개 분야가 "&amp;TEXT('통계'!B20,"0.0%")&amp;"를 차지합니다. 선택한 포트폴리오의 구성으로 해석합니다."</x:f>
        <x:v>상위 3개 분야가 78.8%를 차지합니다. 선택한 포트폴리오의 구성으로 해석합니다.</x:v>
      </x:c>
      <x:c r="L16" s="92"/>
      <x:c r="M16" s="92"/>
      <x:c r="N16" s="92"/>
      <x:c r="O16" s="92"/>
      <x:c r="P16" s="93"/>
      <x:c r="Q16" s="28"/>
      <x:c r="R16" s="75"/>
      <x:c r="S16" s="92" t="str">
        <x:f>"최근 "&amp;'분석조건'!B11&amp;"일 변경 "&amp;'통계'!B12&amp;"버전의 적용 문서를 대조합니다. 진행 중 신청·보완기한은 공개자료 미확보입니다."</x:f>
        <x:v>최근 365일 변경 4버전의 적용 문서를 대조합니다. 진행 중 신청·보완기한은 공개자료 미확보입니다.</x:v>
      </x:c>
      <x:c r="T16" s="92"/>
      <x:c r="U16" s="92"/>
      <x:c r="V16" s="92"/>
      <x:c r="W16" s="93"/>
      <x:c r="X16" s="28"/>
    </x:row>
    <x:row r="17" ht="22" customHeight="1">
      <x:c r="A17" s="28"/>
      <x:c r="B17" s="77"/>
      <x:c r="C17" s="94"/>
      <x:c r="D17" s="94"/>
      <x:c r="E17" s="94"/>
      <x:c r="F17" s="94"/>
      <x:c r="G17" s="94"/>
      <x:c r="H17" s="95"/>
      <x:c r="I17" s="28"/>
      <x:c r="J17" s="77"/>
      <x:c r="K17" s="94"/>
      <x:c r="L17" s="94"/>
      <x:c r="M17" s="94"/>
      <x:c r="N17" s="94"/>
      <x:c r="O17" s="94"/>
      <x:c r="P17" s="95"/>
      <x:c r="Q17" s="28"/>
      <x:c r="R17" s="77"/>
      <x:c r="S17" s="94"/>
      <x:c r="T17" s="94"/>
      <x:c r="U17" s="94"/>
      <x:c r="V17" s="94"/>
      <x:c r="W17" s="95"/>
      <x:c r="X17" s="28"/>
    </x:row>
    <x:row r="18" ht="14" customHeight="1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</x:row>
    <x:row r="19" ht="16" customHeight="1">
      <x:c r="A19" s="28"/>
      <x:c r="B19" s="107" t="str">
        <x:v>01</x:v>
      </x:c>
      <x:c r="C19" s="108" t="str">
        <x:v>TIME SERIES</x:v>
      </x:c>
      <x:c r="D19" s="108"/>
      <x:c r="E19" s="108"/>
      <x:c r="F19" s="108"/>
      <x:c r="G19" s="108"/>
      <x:c r="H19" s="108"/>
      <x:c r="I19" s="108"/>
      <x:c r="J19" s="108"/>
      <x:c r="K19" s="108"/>
      <x:c r="L19" s="109"/>
      <x:c r="M19" s="28"/>
      <x:c r="N19" s="107" t="str">
        <x:v>02</x:v>
      </x:c>
      <x:c r="O19" s="108" t="str">
        <x:v>CHANGE WATCH</x:v>
      </x:c>
      <x:c r="P19" s="108"/>
      <x:c r="Q19" s="108"/>
      <x:c r="R19" s="108"/>
      <x:c r="S19" s="108"/>
      <x:c r="T19" s="108"/>
      <x:c r="U19" s="108"/>
      <x:c r="V19" s="108"/>
      <x:c r="W19" s="109"/>
      <x:c r="X19" s="28"/>
    </x:row>
    <x:row r="20" ht="24" customHeight="1">
      <x:c r="A20" s="28"/>
      <x:c r="B20" s="110" t="str">
        <x:v>  최초·개정 버전의 흐름</x:v>
      </x:c>
      <x:c r="C20" s="111"/>
      <x:c r="D20" s="111"/>
      <x:c r="E20" s="111"/>
      <x:c r="F20" s="111"/>
      <x:c r="G20" s="111"/>
      <x:c r="H20" s="111"/>
      <x:c r="I20" s="111"/>
      <x:c r="J20" s="111"/>
      <x:c r="K20" s="111"/>
      <x:c r="L20" s="112"/>
      <x:c r="M20" s="28"/>
      <x:c r="N20" s="110" t="str">
        <x:v>  최신 버전 경과일 분포</x:v>
      </x:c>
      <x:c r="O20" s="111"/>
      <x:c r="P20" s="111"/>
      <x:c r="Q20" s="111"/>
      <x:c r="R20" s="111"/>
      <x:c r="S20" s="111"/>
      <x:c r="T20" s="111"/>
      <x:c r="U20" s="111"/>
      <x:c r="V20" s="111"/>
      <x:c r="W20" s="112"/>
      <x:c r="X20" s="28"/>
    </x:row>
    <x:row r="21" ht="30" customHeight="1">
      <x:c r="A21" s="28"/>
      <x:c r="B21" s="35" t="str">
        <x:f>"  "&amp;(IF('통계'!B21="","선택한 조건의 유효시작 버전이 없습니다.","유효시작 버전은 "&amp;'통계'!B21&amp;"년 "&amp;MAX('통계'!H7:H18)&amp;"개가 가장 많고, "&amp;'분석조건'!B6&amp;"년은 "&amp;'통계'!B22&amp;"개입니다."))</x:f>
        <x:v>  유효시작 버전은 2015년 7개가 가장 많고, 2026년은 2개입니다.</x:v>
      </x:c>
      <x:c r="C21" s="36"/>
      <x:c r="D21" s="36"/>
      <x:c r="E21" s="36"/>
      <x:c r="F21" s="36"/>
      <x:c r="G21" s="36"/>
      <x:c r="H21" s="36"/>
      <x:c r="I21" s="36"/>
      <x:c r="J21" s="36"/>
      <x:c r="K21" s="36"/>
      <x:c r="L21" s="37"/>
      <x:c r="M21" s="28"/>
      <x:c r="N21" s="35" t="str">
        <x:f>"  "&amp;(IF('통계'!B7=0,"경과일을 계산할 방법론이 없습니다.","최신 버전 이후 "&amp;TEXT('분석조건'!B10,"#,##0")&amp;"일을 넘긴 방법론은 "&amp;'통계'!B13&amp;"개입니다."))</x:f>
        <x:v>  최신 버전 이후 1,095일을 넘긴 방법론은 23개입니다.</x:v>
      </x:c>
      <x:c r="O21" s="36"/>
      <x:c r="P21" s="36"/>
      <x:c r="Q21" s="36"/>
      <x:c r="R21" s="36"/>
      <x:c r="S21" s="36"/>
      <x:c r="T21" s="36"/>
      <x:c r="U21" s="36"/>
      <x:c r="V21" s="36"/>
      <x:c r="W21" s="37"/>
      <x:c r="X21" s="28"/>
    </x:row>
    <x:row r="22" ht="22" customHeight="1">
      <x:c r="A22" s="28"/>
      <x:c r="B22" s="43"/>
      <x:c r="C22" s="28"/>
      <x:c r="D22" s="28"/>
      <x:c r="E22" s="28"/>
      <x:c r="F22" s="28"/>
      <x:c r="G22" s="28"/>
      <x:c r="H22" s="28"/>
      <x:c r="I22" s="28"/>
      <x:c r="J22" s="28"/>
      <x:c r="K22" s="28"/>
      <x:c r="L22" s="44"/>
      <x:c r="M22" s="28"/>
      <x:c r="N22" s="43"/>
      <x:c r="O22" s="28"/>
      <x:c r="P22" s="28"/>
      <x:c r="Q22" s="28"/>
      <x:c r="R22" s="28"/>
      <x:c r="S22" s="28"/>
      <x:c r="T22" s="28"/>
      <x:c r="U22" s="28"/>
      <x:c r="V22" s="28"/>
      <x:c r="W22" s="44"/>
      <x:c r="X22" s="28"/>
    </x:row>
    <x:row r="23" ht="20" customHeight="1">
      <x:c r="A23" s="28"/>
      <x:c r="B23" s="43"/>
      <x:c r="C23" s="28"/>
      <x:c r="D23" s="28"/>
      <x:c r="E23" s="28"/>
      <x:c r="F23" s="28"/>
      <x:c r="G23" s="28"/>
      <x:c r="H23" s="28"/>
      <x:c r="I23" s="28"/>
      <x:c r="J23" s="28"/>
      <x:c r="K23" s="28"/>
      <x:c r="L23" s="44"/>
      <x:c r="M23" s="28"/>
      <x:c r="N23" s="43"/>
      <x:c r="O23" s="28"/>
      <x:c r="P23" s="28"/>
      <x:c r="Q23" s="28"/>
      <x:c r="R23" s="28"/>
      <x:c r="S23" s="28"/>
      <x:c r="T23" s="28"/>
      <x:c r="U23" s="28"/>
      <x:c r="V23" s="28"/>
      <x:c r="W23" s="44"/>
      <x:c r="X23" s="28"/>
    </x:row>
    <x:row r="24" ht="20" customHeight="1">
      <x:c r="A24" s="28"/>
      <x:c r="B24" s="43"/>
      <x:c r="C24" s="28"/>
      <x:c r="D24" s="28"/>
      <x:c r="E24" s="28"/>
      <x:c r="F24" s="28"/>
      <x:c r="G24" s="28"/>
      <x:c r="H24" s="28"/>
      <x:c r="I24" s="28"/>
      <x:c r="J24" s="28"/>
      <x:c r="K24" s="28"/>
      <x:c r="L24" s="44"/>
      <x:c r="M24" s="28"/>
      <x:c r="N24" s="43"/>
      <x:c r="O24" s="28"/>
      <x:c r="P24" s="28"/>
      <x:c r="Q24" s="28"/>
      <x:c r="R24" s="28"/>
      <x:c r="S24" s="28"/>
      <x:c r="T24" s="28"/>
      <x:c r="U24" s="28"/>
      <x:c r="V24" s="28"/>
      <x:c r="W24" s="44"/>
      <x:c r="X24" s="28"/>
    </x:row>
    <x:row r="25" ht="20" customHeight="1">
      <x:c r="A25" s="28"/>
      <x:c r="B25" s="43"/>
      <x:c r="C25" s="28"/>
      <x:c r="D25" s="28"/>
      <x:c r="E25" s="28"/>
      <x:c r="F25" s="28"/>
      <x:c r="G25" s="28"/>
      <x:c r="H25" s="28"/>
      <x:c r="I25" s="28"/>
      <x:c r="J25" s="28"/>
      <x:c r="K25" s="28"/>
      <x:c r="L25" s="44"/>
      <x:c r="M25" s="28"/>
      <x:c r="N25" s="43"/>
      <x:c r="O25" s="28"/>
      <x:c r="P25" s="28"/>
      <x:c r="Q25" s="28"/>
      <x:c r="R25" s="28"/>
      <x:c r="S25" s="28"/>
      <x:c r="T25" s="28"/>
      <x:c r="U25" s="28"/>
      <x:c r="V25" s="28"/>
      <x:c r="W25" s="44"/>
      <x:c r="X25" s="28"/>
    </x:row>
    <x:row r="26" ht="20" customHeight="1">
      <x:c r="A26" s="28"/>
      <x:c r="B26" s="43"/>
      <x:c r="C26" s="28"/>
      <x:c r="D26" s="28"/>
      <x:c r="E26" s="28"/>
      <x:c r="F26" s="28"/>
      <x:c r="G26" s="28"/>
      <x:c r="H26" s="28"/>
      <x:c r="I26" s="28"/>
      <x:c r="J26" s="28"/>
      <x:c r="K26" s="28"/>
      <x:c r="L26" s="44"/>
      <x:c r="M26" s="28"/>
      <x:c r="N26" s="43"/>
      <x:c r="O26" s="28"/>
      <x:c r="P26" s="28"/>
      <x:c r="Q26" s="28"/>
      <x:c r="R26" s="28"/>
      <x:c r="S26" s="28"/>
      <x:c r="T26" s="28"/>
      <x:c r="U26" s="28"/>
      <x:c r="V26" s="28"/>
      <x:c r="W26" s="44"/>
      <x:c r="X26" s="28"/>
    </x:row>
    <x:row r="27" ht="20" customHeight="1">
      <x:c r="A27" s="28"/>
      <x:c r="B27" s="43"/>
      <x:c r="C27" s="28"/>
      <x:c r="D27" s="28"/>
      <x:c r="E27" s="28"/>
      <x:c r="F27" s="28"/>
      <x:c r="G27" s="28"/>
      <x:c r="H27" s="28"/>
      <x:c r="I27" s="28"/>
      <x:c r="J27" s="28"/>
      <x:c r="K27" s="28"/>
      <x:c r="L27" s="44"/>
      <x:c r="M27" s="28"/>
      <x:c r="N27" s="43"/>
      <x:c r="O27" s="28"/>
      <x:c r="P27" s="28"/>
      <x:c r="Q27" s="28"/>
      <x:c r="R27" s="28"/>
      <x:c r="S27" s="28"/>
      <x:c r="T27" s="28"/>
      <x:c r="U27" s="28"/>
      <x:c r="V27" s="28"/>
      <x:c r="W27" s="44"/>
      <x:c r="X27" s="28"/>
    </x:row>
    <x:row r="28" ht="20" customHeight="1">
      <x:c r="A28" s="28"/>
      <x:c r="B28" s="43"/>
      <x:c r="C28" s="28"/>
      <x:c r="D28" s="28"/>
      <x:c r="E28" s="28"/>
      <x:c r="F28" s="28"/>
      <x:c r="G28" s="28"/>
      <x:c r="H28" s="28"/>
      <x:c r="I28" s="28"/>
      <x:c r="J28" s="28"/>
      <x:c r="K28" s="28"/>
      <x:c r="L28" s="44"/>
      <x:c r="M28" s="28"/>
      <x:c r="N28" s="43"/>
      <x:c r="O28" s="28"/>
      <x:c r="P28" s="28"/>
      <x:c r="Q28" s="28"/>
      <x:c r="R28" s="28"/>
      <x:c r="S28" s="28"/>
      <x:c r="T28" s="28"/>
      <x:c r="U28" s="28"/>
      <x:c r="V28" s="28"/>
      <x:c r="W28" s="44"/>
      <x:c r="X28" s="28"/>
    </x:row>
    <x:row r="29" ht="20" customHeight="1">
      <x:c r="A29" s="28"/>
      <x:c r="B29" s="43"/>
      <x:c r="C29" s="28"/>
      <x:c r="D29" s="28"/>
      <x:c r="E29" s="28"/>
      <x:c r="F29" s="28"/>
      <x:c r="G29" s="28"/>
      <x:c r="H29" s="28"/>
      <x:c r="I29" s="28"/>
      <x:c r="J29" s="28"/>
      <x:c r="K29" s="28"/>
      <x:c r="L29" s="44"/>
      <x:c r="M29" s="28"/>
      <x:c r="N29" s="43"/>
      <x:c r="O29" s="28"/>
      <x:c r="P29" s="28"/>
      <x:c r="Q29" s="28"/>
      <x:c r="R29" s="28"/>
      <x:c r="S29" s="28"/>
      <x:c r="T29" s="28"/>
      <x:c r="U29" s="28"/>
      <x:c r="V29" s="28"/>
      <x:c r="W29" s="44"/>
      <x:c r="X29" s="28"/>
    </x:row>
    <x:row r="30" ht="20" customHeight="1">
      <x:c r="A30" s="28"/>
      <x:c r="B30" s="43"/>
      <x:c r="C30" s="28"/>
      <x:c r="D30" s="28"/>
      <x:c r="E30" s="28"/>
      <x:c r="F30" s="28"/>
      <x:c r="G30" s="28"/>
      <x:c r="H30" s="28"/>
      <x:c r="I30" s="28"/>
      <x:c r="J30" s="28"/>
      <x:c r="K30" s="28"/>
      <x:c r="L30" s="44"/>
      <x:c r="M30" s="28"/>
      <x:c r="N30" s="43"/>
      <x:c r="O30" s="28"/>
      <x:c r="P30" s="28"/>
      <x:c r="Q30" s="28"/>
      <x:c r="R30" s="28"/>
      <x:c r="S30" s="28"/>
      <x:c r="T30" s="28"/>
      <x:c r="U30" s="28"/>
      <x:c r="V30" s="28"/>
      <x:c r="W30" s="44"/>
      <x:c r="X30" s="28"/>
    </x:row>
    <x:row r="31" ht="20" customHeight="1">
      <x:c r="A31" s="28"/>
      <x:c r="B31" s="43"/>
      <x:c r="C31" s="28"/>
      <x:c r="D31" s="28"/>
      <x:c r="E31" s="28"/>
      <x:c r="F31" s="28"/>
      <x:c r="G31" s="28"/>
      <x:c r="H31" s="28"/>
      <x:c r="I31" s="28"/>
      <x:c r="J31" s="28"/>
      <x:c r="K31" s="28"/>
      <x:c r="L31" s="44"/>
      <x:c r="M31" s="28"/>
      <x:c r="N31" s="43"/>
      <x:c r="O31" s="28"/>
      <x:c r="P31" s="28"/>
      <x:c r="Q31" s="28"/>
      <x:c r="R31" s="28"/>
      <x:c r="S31" s="28"/>
      <x:c r="T31" s="28"/>
      <x:c r="U31" s="28"/>
      <x:c r="V31" s="28"/>
      <x:c r="W31" s="44"/>
      <x:c r="X31" s="28"/>
    </x:row>
    <x:row r="32" ht="20" customHeight="1">
      <x:c r="A32" s="28"/>
      <x:c r="B32" s="43"/>
      <x:c r="C32" s="28"/>
      <x:c r="D32" s="28"/>
      <x:c r="E32" s="28"/>
      <x:c r="F32" s="28"/>
      <x:c r="G32" s="28"/>
      <x:c r="H32" s="28"/>
      <x:c r="I32" s="28"/>
      <x:c r="J32" s="28"/>
      <x:c r="K32" s="28"/>
      <x:c r="L32" s="44"/>
      <x:c r="M32" s="28"/>
      <x:c r="N32" s="43"/>
      <x:c r="O32" s="28"/>
      <x:c r="P32" s="28"/>
      <x:c r="Q32" s="28"/>
      <x:c r="R32" s="28"/>
      <x:c r="S32" s="28"/>
      <x:c r="T32" s="28"/>
      <x:c r="U32" s="28"/>
      <x:c r="V32" s="28"/>
      <x:c r="W32" s="44"/>
      <x:c r="X32" s="28"/>
    </x:row>
    <x:row r="33" ht="20" customHeight="1">
      <x:c r="A33" s="28"/>
      <x:c r="B33" s="43"/>
      <x:c r="C33" s="28"/>
      <x:c r="D33" s="28"/>
      <x:c r="E33" s="28"/>
      <x:c r="F33" s="28"/>
      <x:c r="G33" s="28"/>
      <x:c r="H33" s="28"/>
      <x:c r="I33" s="28"/>
      <x:c r="J33" s="28"/>
      <x:c r="K33" s="28"/>
      <x:c r="L33" s="44"/>
      <x:c r="M33" s="28"/>
      <x:c r="N33" s="43"/>
      <x:c r="O33" s="28"/>
      <x:c r="P33" s="28"/>
      <x:c r="Q33" s="28"/>
      <x:c r="R33" s="28"/>
      <x:c r="S33" s="28"/>
      <x:c r="T33" s="28"/>
      <x:c r="U33" s="28"/>
      <x:c r="V33" s="28"/>
      <x:c r="W33" s="44"/>
      <x:c r="X33" s="28"/>
    </x:row>
    <x:row r="34" ht="20" customHeight="1">
      <x:c r="A34" s="28"/>
      <x:c r="B34" s="43"/>
      <x:c r="C34" s="28"/>
      <x:c r="D34" s="28"/>
      <x:c r="E34" s="28"/>
      <x:c r="F34" s="28"/>
      <x:c r="G34" s="28"/>
      <x:c r="H34" s="28"/>
      <x:c r="I34" s="28"/>
      <x:c r="J34" s="28"/>
      <x:c r="K34" s="28"/>
      <x:c r="L34" s="44"/>
      <x:c r="M34" s="28"/>
      <x:c r="N34" s="43"/>
      <x:c r="O34" s="28"/>
      <x:c r="P34" s="28"/>
      <x:c r="Q34" s="28"/>
      <x:c r="R34" s="28"/>
      <x:c r="S34" s="28"/>
      <x:c r="T34" s="28"/>
      <x:c r="U34" s="28"/>
      <x:c r="V34" s="28"/>
      <x:c r="W34" s="44"/>
      <x:c r="X34" s="28"/>
    </x:row>
    <x:row r="35" ht="20" customHeight="1">
      <x:c r="A35" s="28"/>
      <x:c r="B35" s="43"/>
      <x:c r="C35" s="28"/>
      <x:c r="D35" s="28"/>
      <x:c r="E35" s="28"/>
      <x:c r="F35" s="28"/>
      <x:c r="G35" s="28"/>
      <x:c r="H35" s="28"/>
      <x:c r="I35" s="28"/>
      <x:c r="J35" s="28"/>
      <x:c r="K35" s="28"/>
      <x:c r="L35" s="44"/>
      <x:c r="M35" s="28"/>
      <x:c r="N35" s="43"/>
      <x:c r="O35" s="28"/>
      <x:c r="P35" s="28"/>
      <x:c r="Q35" s="28"/>
      <x:c r="R35" s="28"/>
      <x:c r="S35" s="28"/>
      <x:c r="T35" s="28"/>
      <x:c r="U35" s="28"/>
      <x:c r="V35" s="28"/>
      <x:c r="W35" s="44"/>
      <x:c r="X35" s="28"/>
    </x:row>
    <x:row r="36" ht="30" customHeight="1">
      <x:c r="A36" s="28"/>
      <x:c r="B36" s="125" t="str">
        <x:v>  ■ 출처 ORS 공개 이력 · 단위 버전 · 유효시작일 기준(등록일 아님) · 정확한 수치는 통계 시트 D~H열</x:v>
      </x:c>
      <x:c r="C36" s="126"/>
      <x:c r="D36" s="126"/>
      <x:c r="E36" s="126"/>
      <x:c r="F36" s="126"/>
      <x:c r="G36" s="126"/>
      <x:c r="H36" s="126"/>
      <x:c r="I36" s="126"/>
      <x:c r="J36" s="126"/>
      <x:c r="K36" s="126"/>
      <x:c r="L36" s="127"/>
      <x:c r="M36" s="28"/>
      <x:c r="N36" s="125" t="str">
        <x:v>  ■ 경과일 = 유효시작일 상한 − 최신 버전 유효시작일 · 법정기한·효력 판단 아님 · 단위 방법론</x:v>
      </x:c>
      <x:c r="O36" s="126"/>
      <x:c r="P36" s="126"/>
      <x:c r="Q36" s="126"/>
      <x:c r="R36" s="126"/>
      <x:c r="S36" s="126"/>
      <x:c r="T36" s="126"/>
      <x:c r="U36" s="126"/>
      <x:c r="V36" s="126"/>
      <x:c r="W36" s="127"/>
      <x:c r="X36" s="28"/>
    </x:row>
    <x:row r="37" ht="14" customHeight="1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</x:row>
    <x:row r="38" ht="16" customHeight="1">
      <x:c r="A38" s="28"/>
      <x:c r="B38" s="107" t="str">
        <x:v>03</x:v>
      </x:c>
      <x:c r="C38" s="108" t="str">
        <x:v>SAME PERIOD</x:v>
      </x:c>
      <x:c r="D38" s="108"/>
      <x:c r="E38" s="108"/>
      <x:c r="F38" s="108"/>
      <x:c r="G38" s="108"/>
      <x:c r="H38" s="108"/>
      <x:c r="I38" s="108"/>
      <x:c r="J38" s="108"/>
      <x:c r="K38" s="108"/>
      <x:c r="L38" s="109"/>
      <x:c r="M38" s="28"/>
      <x:c r="N38" s="107" t="str">
        <x:v>04</x:v>
      </x:c>
      <x:c r="O38" s="108" t="str">
        <x:v>REVISION</x:v>
      </x:c>
      <x:c r="P38" s="108"/>
      <x:c r="Q38" s="108"/>
      <x:c r="R38" s="108"/>
      <x:c r="S38" s="108"/>
      <x:c r="T38" s="108"/>
      <x:c r="U38" s="108"/>
      <x:c r="V38" s="108"/>
      <x:c r="W38" s="109"/>
      <x:c r="X38" s="28"/>
    </x:row>
    <x:row r="39" ht="24" customHeight="1">
      <x:c r="A39" s="28"/>
      <x:c r="B39" s="110" t="str">
        <x:v>  전년 같은 기간 비교</x:v>
      </x:c>
      <x:c r="C39" s="111"/>
      <x:c r="D39" s="111"/>
      <x:c r="E39" s="111"/>
      <x:c r="F39" s="111"/>
      <x:c r="G39" s="111"/>
      <x:c r="H39" s="111"/>
      <x:c r="I39" s="111"/>
      <x:c r="J39" s="111"/>
      <x:c r="K39" s="111"/>
      <x:c r="L39" s="112"/>
      <x:c r="M39" s="28"/>
      <x:c r="N39" s="110" t="str">
        <x:v>  개정 경험·장기 관찰</x:v>
      </x:c>
      <x:c r="O39" s="111"/>
      <x:c r="P39" s="111"/>
      <x:c r="Q39" s="111"/>
      <x:c r="R39" s="111"/>
      <x:c r="S39" s="111"/>
      <x:c r="T39" s="111"/>
      <x:c r="U39" s="111"/>
      <x:c r="V39" s="111"/>
      <x:c r="W39" s="112"/>
      <x:c r="X39" s="28"/>
    </x:row>
    <x:row r="40" ht="30" customHeight="1">
      <x:c r="A40" s="28"/>
      <x:c r="B40" s="35" t="str">
        <x:f>"  "&amp;('분석조건'!B6&amp;"년 동기간 버전은 "&amp;'통계'!B15&amp;"개로 "&amp;IF('통계'!B17=0,"전년과 같습니다.","전년보다 "&amp;ABS('통계'!B17)&amp;"개 "&amp;IF('통계'!B17&gt;0,"많습니다.","적습니다.")))</x:f>
        <x:v>  2026년 동기간 버전은 2개로 전년보다 1개 적습니다.</x:v>
      </x:c>
      <x:c r="C40" s="36"/>
      <x:c r="D40" s="36"/>
      <x:c r="E40" s="36"/>
      <x:c r="F40" s="36"/>
      <x:c r="G40" s="36"/>
      <x:c r="H40" s="36"/>
      <x:c r="I40" s="36"/>
      <x:c r="J40" s="36"/>
      <x:c r="K40" s="36"/>
      <x:c r="L40" s="37"/>
      <x:c r="M40" s="28"/>
      <x:c r="N40" s="35" t="str">
        <x:f>"  "&amp;(IF('통계'!B7=0,"개정 경험을 계산할 방법론이 없습니다.","개정 이력이 있는 방법론은 "&amp;'통계'!B9&amp;"개("&amp;TEXT('통계'!B14,"0.0%")&amp;")입니다."))</x:f>
        <x:v>  개정 이력이 있는 방법론은 6개(18.2%)입니다.</x:v>
      </x:c>
      <x:c r="O40" s="36"/>
      <x:c r="P40" s="36"/>
      <x:c r="Q40" s="36"/>
      <x:c r="R40" s="36"/>
      <x:c r="S40" s="36"/>
      <x:c r="T40" s="36"/>
      <x:c r="U40" s="36"/>
      <x:c r="V40" s="36"/>
      <x:c r="W40" s="37"/>
      <x:c r="X40" s="28"/>
    </x:row>
    <x:row r="41" ht="8" customHeight="1">
      <x:c r="A41" s="28"/>
      <x:c r="B41" s="43"/>
      <x:c r="C41" s="28"/>
      <x:c r="D41" s="28"/>
      <x:c r="E41" s="28"/>
      <x:c r="F41" s="28"/>
      <x:c r="G41" s="28"/>
      <x:c r="H41" s="28"/>
      <x:c r="I41" s="28"/>
      <x:c r="J41" s="28"/>
      <x:c r="K41" s="28"/>
      <x:c r="L41" s="44"/>
      <x:c r="M41" s="28"/>
      <x:c r="N41" s="43"/>
      <x:c r="O41" s="28"/>
      <x:c r="P41" s="28"/>
      <x:c r="Q41" s="28"/>
      <x:c r="R41" s="28"/>
      <x:c r="S41" s="28"/>
      <x:c r="T41" s="28"/>
      <x:c r="U41" s="28"/>
      <x:c r="V41" s="28"/>
      <x:c r="W41" s="44"/>
      <x:c r="X41" s="28"/>
    </x:row>
    <x:row r="42" ht="18" customHeight="1">
      <x:c r="A42" s="28"/>
      <x:c r="B42" s="128" t="str">
        <x:v>  선택연도 누계</x:v>
      </x:c>
      <x:c r="C42" s="129"/>
      <x:c r="D42" s="129"/>
      <x:c r="E42" s="129"/>
      <x:c r="F42" s="129" t="str">
        <x:v>  전년 동기간</x:v>
      </x:c>
      <x:c r="G42" s="129"/>
      <x:c r="H42" s="129"/>
      <x:c r="I42" s="129" t="str">
        <x:v>  증감</x:v>
      </x:c>
      <x:c r="J42" s="129"/>
      <x:c r="K42" s="129"/>
      <x:c r="L42" s="138"/>
      <x:c r="M42" s="28"/>
      <x:c r="N42" s="128" t="str">
        <x:v>  개정 경험 비중</x:v>
      </x:c>
      <x:c r="O42" s="129"/>
      <x:c r="P42" s="129"/>
      <x:c r="Q42" s="129"/>
      <x:c r="R42" s="129" t="str">
        <x:v>  관찰 기준 초과</x:v>
      </x:c>
      <x:c r="S42" s="129"/>
      <x:c r="T42" s="129"/>
      <x:c r="U42" s="129" t="str">
        <x:v>  경과일 중앙값</x:v>
      </x:c>
      <x:c r="V42" s="129"/>
      <x:c r="W42" s="138"/>
      <x:c r="X42" s="28"/>
    </x:row>
    <x:row r="43" ht="22" customHeight="1">
      <x:c r="A43" s="28"/>
      <x:c r="B43" s="136" t="n">
        <x:f>'통계'!B15</x:f>
        <x:v>2</x:v>
      </x:c>
      <x:c r="C43" s="137"/>
      <x:c r="D43" s="137"/>
      <x:c r="E43" s="137"/>
      <x:c r="F43" s="137" t="n">
        <x:f>'통계'!B16</x:f>
        <x:v>3</x:v>
      </x:c>
      <x:c r="G43" s="137"/>
      <x:c r="H43" s="137"/>
      <x:c r="I43" s="144" t="n">
        <x:f>'통계'!B17</x:f>
        <x:v>-1</x:v>
      </x:c>
      <x:c r="J43" s="144"/>
      <x:c r="K43" s="144"/>
      <x:c r="L43" s="145"/>
      <x:c r="M43" s="28"/>
      <x:c r="N43" s="146" t="n">
        <x:f>'통계'!B14</x:f>
        <x:v>0.18181818181818182</x:v>
      </x:c>
      <x:c r="O43" s="147"/>
      <x:c r="P43" s="147"/>
      <x:c r="Q43" s="147"/>
      <x:c r="R43" s="137" t="n">
        <x:f>'통계'!B13</x:f>
        <x:v>23</x:v>
      </x:c>
      <x:c r="S43" s="137"/>
      <x:c r="T43" s="137"/>
      <x:c r="U43" s="137" t="n">
        <x:f>'통계'!B19</x:f>
        <x:v>2057</x:v>
      </x:c>
      <x:c r="V43" s="137"/>
      <x:c r="W43" s="150"/>
      <x:c r="X43" s="28"/>
    </x:row>
    <x:row r="44" ht="22" customHeight="1">
      <x:c r="A44" s="28"/>
      <x:c r="B44" s="136"/>
      <x:c r="C44" s="137"/>
      <x:c r="D44" s="137"/>
      <x:c r="E44" s="137"/>
      <x:c r="F44" s="137"/>
      <x:c r="G44" s="137"/>
      <x:c r="H44" s="137"/>
      <x:c r="I44" s="144"/>
      <x:c r="J44" s="144"/>
      <x:c r="K44" s="144"/>
      <x:c r="L44" s="145"/>
      <x:c r="M44" s="28"/>
      <x:c r="N44" s="146"/>
      <x:c r="O44" s="147"/>
      <x:c r="P44" s="147"/>
      <x:c r="Q44" s="147"/>
      <x:c r="R44" s="137"/>
      <x:c r="S44" s="137"/>
      <x:c r="T44" s="137"/>
      <x:c r="U44" s="137"/>
      <x:c r="V44" s="137"/>
      <x:c r="W44" s="150"/>
      <x:c r="X44" s="28"/>
    </x:row>
    <x:row r="45" ht="18" customHeight="1">
      <x:c r="A45" s="28"/>
      <x:c r="B45" s="134" t="str">
        <x:v>  버전</x:v>
      </x:c>
      <x:c r="C45" s="135"/>
      <x:c r="D45" s="135"/>
      <x:c r="E45" s="135"/>
      <x:c r="F45" s="135" t="str">
        <x:v>  버전</x:v>
      </x:c>
      <x:c r="G45" s="135"/>
      <x:c r="H45" s="135"/>
      <x:c r="I45" s="135" t="str">
        <x:v>  버전</x:v>
      </x:c>
      <x:c r="J45" s="135"/>
      <x:c r="K45" s="135"/>
      <x:c r="L45" s="143"/>
      <x:c r="M45" s="28"/>
      <x:c r="N45" s="134" t="str">
        <x:v>  고유 방법론 대비</x:v>
      </x:c>
      <x:c r="O45" s="135"/>
      <x:c r="P45" s="135"/>
      <x:c r="Q45" s="135"/>
      <x:c r="R45" s="135" t="str">
        <x:v>  방법론</x:v>
      </x:c>
      <x:c r="S45" s="135"/>
      <x:c r="T45" s="135"/>
      <x:c r="U45" s="135" t="str">
        <x:v>  일</x:v>
      </x:c>
      <x:c r="V45" s="135"/>
      <x:c r="W45" s="143"/>
      <x:c r="X45" s="28"/>
    </x:row>
    <x:row r="46" ht="30" customHeight="1">
      <x:c r="A46" s="28"/>
      <x:c r="B46" s="125" t="str">
        <x:f>"  ■ 비교 기간 1월 1일~"&amp;TEXT('분석조건'!B14,"yyyy-mm-dd")&amp;" / 전년 1월 1일~"&amp;TEXT('분석조건'!B15,"yyyy-mm-dd")&amp;" · 단위 버전 · 선택한 코드 밖의 증가는 반영하지 않음"</x:f>
        <x:v>  ■ 비교 기간 1월 1일~2026-10-14 / 전년 1월 1일~2025-10-14 · 단위 버전 · 선택한 코드 밖의 증가는 반영하지 않음</x:v>
      </x:c>
      <x:c r="C46" s="126"/>
      <x:c r="D46" s="126"/>
      <x:c r="E46" s="126"/>
      <x:c r="F46" s="126"/>
      <x:c r="G46" s="126"/>
      <x:c r="H46" s="126"/>
      <x:c r="I46" s="126"/>
      <x:c r="J46" s="126"/>
      <x:c r="K46" s="126"/>
      <x:c r="L46" s="127"/>
      <x:c r="M46" s="28"/>
      <x:c r="N46" s="125" t="str">
        <x:v>  ■ 개정 경험 = 공개 개정 이력 1회 이상 · 변경이 없다는 이유로 적용 불가로 판단하지 않음</x:v>
      </x:c>
      <x:c r="O46" s="126"/>
      <x:c r="P46" s="126"/>
      <x:c r="Q46" s="126"/>
      <x:c r="R46" s="126"/>
      <x:c r="S46" s="126"/>
      <x:c r="T46" s="126"/>
      <x:c r="U46" s="126"/>
      <x:c r="V46" s="126"/>
      <x:c r="W46" s="127"/>
      <x:c r="X46" s="28"/>
    </x:row>
    <x:row r="47" ht="14" customHeight="1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</x:row>
    <x:row r="48" ht="16" customHeight="1">
      <x:c r="A48" s="28"/>
      <x:c r="B48" s="107" t="str">
        <x:v>05</x:v>
      </x:c>
      <x:c r="C48" s="108" t="str">
        <x:v>WORK IN PROGRESS</x:v>
      </x:c>
      <x:c r="D48" s="108"/>
      <x:c r="E48" s="108"/>
      <x:c r="F48" s="108"/>
      <x:c r="G48" s="108"/>
      <x:c r="H48" s="108"/>
      <x:c r="I48" s="108"/>
      <x:c r="J48" s="108"/>
      <x:c r="K48" s="108"/>
      <x:c r="L48" s="108"/>
      <x:c r="M48" s="108"/>
      <x:c r="N48" s="108"/>
      <x:c r="O48" s="108"/>
      <x:c r="P48" s="108"/>
      <x:c r="Q48" s="108"/>
      <x:c r="R48" s="108"/>
      <x:c r="S48" s="108"/>
      <x:c r="T48" s="108"/>
      <x:c r="U48" s="108"/>
      <x:c r="V48" s="108"/>
      <x:c r="W48" s="109"/>
      <x:c r="X48" s="28"/>
    </x:row>
    <x:row r="49" ht="24" customHeight="1">
      <x:c r="A49" s="28"/>
      <x:c r="B49" s="110" t="str">
        <x:v>  진행 중 신청과 업무기한</x:v>
      </x:c>
      <x:c r="C49" s="111"/>
      <x:c r="D49" s="111"/>
      <x:c r="E49" s="111"/>
      <x:c r="F49" s="111"/>
      <x:c r="G49" s="111"/>
      <x:c r="H49" s="111"/>
      <x:c r="I49" s="111"/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1"/>
      <x:c r="U49" s="111"/>
      <x:c r="V49" s="111"/>
      <x:c r="W49" s="112"/>
      <x:c r="X49" s="28"/>
    </x:row>
    <x:row r="50" ht="30" customHeight="1">
      <x:c r="A50" s="28"/>
      <x:c r="B50" s="35" t="str">
        <x:f>"  "&amp;("진행 중 신청·보완기한·승인율은 공개자료에 없어 미확보입니다.")</x:f>
        <x:v>  진행 중 신청·보완기한·승인율은 공개자료에 없어 미확보입니다.</x:v>
      </x:c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7"/>
      <x:c r="X50" s="28"/>
    </x:row>
    <x:row r="51" ht="8" customHeight="1">
      <x:c r="A51" s="28"/>
      <x:c r="B51" s="43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44"/>
      <x:c r="X51" s="28"/>
    </x:row>
    <x:row r="52" ht="20" customHeight="1">
      <x:c r="A52" s="28"/>
      <x:c r="B52" s="157" t="str">
        <x:v>  신청·검토 중</x:v>
      </x:c>
      <x:c r="C52" s="158"/>
      <x:c r="D52" s="158"/>
      <x:c r="E52" s="158"/>
      <x:c r="F52" s="159"/>
      <x:c r="G52" s="28"/>
      <x:c r="H52" s="157" t="str">
        <x:v>  보완자료 제출기한</x:v>
      </x:c>
      <x:c r="I52" s="158"/>
      <x:c r="J52" s="158"/>
      <x:c r="K52" s="158"/>
      <x:c r="L52" s="159"/>
      <x:c r="M52" s="28"/>
      <x:c r="N52" s="157" t="str">
        <x:v>  심사 소요기간</x:v>
      </x:c>
      <x:c r="O52" s="158"/>
      <x:c r="P52" s="158"/>
      <x:c r="Q52" s="158"/>
      <x:c r="R52" s="159"/>
      <x:c r="S52" s="28"/>
      <x:c r="T52" s="157" t="str">
        <x:v>  승인·반려율</x:v>
      </x:c>
      <x:c r="U52" s="158"/>
      <x:c r="V52" s="158"/>
      <x:c r="W52" s="159"/>
      <x:c r="X52" s="28"/>
    </x:row>
    <x:row r="53" ht="26" customHeight="1">
      <x:c r="A53" s="28"/>
      <x:c r="B53" s="160" t="str">
        <x:v>  공개자료 미확보</x:v>
      </x:c>
      <x:c r="C53" s="161"/>
      <x:c r="D53" s="161"/>
      <x:c r="E53" s="161"/>
      <x:c r="F53" s="162"/>
      <x:c r="G53" s="28"/>
      <x:c r="H53" s="160" t="str">
        <x:v>  공개자료 미확보</x:v>
      </x:c>
      <x:c r="I53" s="161"/>
      <x:c r="J53" s="161"/>
      <x:c r="K53" s="161"/>
      <x:c r="L53" s="162"/>
      <x:c r="M53" s="28"/>
      <x:c r="N53" s="160" t="str">
        <x:v>  공개자료 미확보</x:v>
      </x:c>
      <x:c r="O53" s="161"/>
      <x:c r="P53" s="161"/>
      <x:c r="Q53" s="161"/>
      <x:c r="R53" s="162"/>
      <x:c r="S53" s="28"/>
      <x:c r="T53" s="160" t="str">
        <x:v>  공개자료 미확보</x:v>
      </x:c>
      <x:c r="U53" s="161"/>
      <x:c r="V53" s="161"/>
      <x:c r="W53" s="162"/>
      <x:c r="X53" s="28"/>
    </x:row>
    <x:row r="54" ht="30" customHeight="1">
      <x:c r="A54" s="28"/>
      <x:c r="B54" s="125" t="str">
        <x:v>  ■ 비공개 신청 원장 제외 · 공개된 승인 방법론으로 신청 건수·승인율·처리속도를 추정하지 않음</x:v>
      </x:c>
      <x:c r="C54" s="126"/>
      <x:c r="D54" s="126"/>
      <x:c r="E54" s="126"/>
      <x:c r="F54" s="126"/>
      <x:c r="G54" s="126"/>
      <x:c r="H54" s="126"/>
      <x:c r="I54" s="126"/>
      <x:c r="J54" s="126"/>
      <x:c r="K54" s="126"/>
      <x:c r="L54" s="126"/>
      <x:c r="M54" s="126"/>
      <x:c r="N54" s="126"/>
      <x:c r="O54" s="126"/>
      <x:c r="P54" s="126"/>
      <x:c r="Q54" s="126"/>
      <x:c r="R54" s="126"/>
      <x:c r="S54" s="126"/>
      <x:c r="T54" s="126"/>
      <x:c r="U54" s="126"/>
      <x:c r="V54" s="126"/>
      <x:c r="W54" s="127"/>
      <x:c r="X54" s="28"/>
    </x:row>
    <x:row r="55" ht="14" customHeight="1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</x:row>
    <x:row r="56" ht="22" customHeight="1">
      <x:c r="A56" s="28"/>
      <x:c r="B56" s="168" t="str">
        <x:v>출처 ORS 공개 이력(https://ors.gir.go.kr/home/orme010/activeList.do?menuId=12) · 2026-10-14 확인 · 공개자료만 포함하고 내부 신청·검토 메모·개인정보는 제외 · 유효시작일을 최초등록일로 대체하지 않음 · 산업부문 전수 통계 아님</x:v>
      </x:c>
      <x:c r="C56" s="168"/>
      <x:c r="D56" s="168"/>
      <x:c r="E56" s="168"/>
      <x:c r="F56" s="168"/>
      <x:c r="G56" s="168"/>
      <x:c r="H56" s="168"/>
      <x:c r="I56" s="168"/>
      <x:c r="J56" s="168"/>
      <x:c r="K56" s="168"/>
      <x:c r="L56" s="168"/>
      <x:c r="M56" s="168"/>
      <x:c r="N56" s="168"/>
      <x:c r="O56" s="168"/>
      <x:c r="P56" s="168"/>
      <x:c r="Q56" s="168"/>
      <x:c r="R56" s="168"/>
      <x:c r="S56" s="168"/>
      <x:c r="T56" s="168"/>
      <x:c r="U56" s="168"/>
      <x:c r="V56" s="168"/>
      <x:c r="W56" s="168"/>
      <x:c r="X56" s="28"/>
    </x:row>
    <x:row r="57" ht="18" customHeight="1">
      <x:c r="A57" s="28"/>
      <x:c r="B57" s="169" t="str">
        <x:v>분석조건 → 통계 → 방법론 / 버전 시트에서 같은 수치와 공개 출처를 확인하세요.</x:v>
      </x:c>
      <x:c r="C57" s="169"/>
      <x:c r="D57" s="169"/>
      <x:c r="E57" s="169"/>
      <x:c r="F57" s="169"/>
      <x:c r="G57" s="169"/>
      <x:c r="H57" s="169"/>
      <x:c r="I57" s="169"/>
      <x:c r="J57" s="169"/>
      <x:c r="K57" s="169"/>
      <x:c r="L57" s="169"/>
      <x:c r="M57" s="169"/>
      <x:c r="N57" s="169"/>
      <x:c r="O57" s="169"/>
      <x:c r="P57" s="169"/>
      <x:c r="Q57" s="169"/>
      <x:c r="R57" s="169"/>
      <x:c r="S57" s="169"/>
      <x:c r="T57" s="169"/>
      <x:c r="U57" s="169"/>
      <x:c r="V57" s="169"/>
      <x:c r="W57" s="169"/>
      <x:c r="X57" s="28"/>
    </x:row>
    <x:row r="58" ht="16" customHeight="1">
      <x:c r="A58" s="28"/>
      <x:c r="B58" s="135" t="str">
        <x:v>디자인: 정부 KRDS 참고형(정부24 계열 색·표 규칙) · 정부·공단 로고와 공식 누리집 문구 미사용 · 노란 칸은 입력, 회색 열은 계산 · 웹에서 바꾼 조건은 이 파일에 자동 반영되지 않음</x:v>
      </x:c>
      <x:c r="C58" s="135"/>
      <x:c r="D58" s="135"/>
      <x:c r="E58" s="135"/>
      <x:c r="F58" s="135"/>
      <x:c r="G58" s="135"/>
      <x:c r="H58" s="135"/>
      <x:c r="I58" s="135"/>
      <x:c r="J58" s="135"/>
      <x:c r="K58" s="135"/>
      <x:c r="L58" s="135"/>
      <x:c r="M58" s="135"/>
      <x:c r="N58" s="135"/>
      <x:c r="O58" s="135"/>
      <x:c r="P58" s="135"/>
      <x:c r="Q58" s="135"/>
      <x:c r="R58" s="135"/>
      <x:c r="S58" s="135"/>
      <x:c r="T58" s="135"/>
      <x:c r="U58" s="135"/>
      <x:c r="V58" s="135"/>
      <x:c r="W58" s="135"/>
      <x:c r="X58" s="28"/>
    </x:row>
    <x:row r="59" ht="20" customHeight="1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</x:row>
    <x:row r="60" ht="20" customHeight="1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</x:row>
  </x:sheetData>
  <x:mergeCells>
    <x:mergeCell ref="B2:W2"/>
    <x:mergeCell ref="B3:W3"/>
    <x:mergeCell ref="B4:W4"/>
    <x:mergeCell ref="B6:W6"/>
    <x:mergeCell ref="B7:W7"/>
    <x:mergeCell ref="B9:E9"/>
    <x:mergeCell ref="B10:E11"/>
    <x:mergeCell ref="B12:E12"/>
    <x:mergeCell ref="F9:I9"/>
    <x:mergeCell ref="F10:I11"/>
    <x:mergeCell ref="F12:I12"/>
    <x:mergeCell ref="J9:M9"/>
    <x:mergeCell ref="J10:M11"/>
    <x:mergeCell ref="J12:M12"/>
    <x:mergeCell ref="N9:Q9"/>
    <x:mergeCell ref="N10:Q11"/>
    <x:mergeCell ref="N12:Q12"/>
    <x:mergeCell ref="R9:T9"/>
    <x:mergeCell ref="R10:T11"/>
    <x:mergeCell ref="R12:T12"/>
    <x:mergeCell ref="U9:W9"/>
    <x:mergeCell ref="U10:W11"/>
    <x:mergeCell ref="U12:W12"/>
    <x:mergeCell ref="C14:W14"/>
    <x:mergeCell ref="C15:H15"/>
    <x:mergeCell ref="C16:H17"/>
    <x:mergeCell ref="K15:P15"/>
    <x:mergeCell ref="K16:P17"/>
    <x:mergeCell ref="S15:W15"/>
    <x:mergeCell ref="S16:W17"/>
    <x:mergeCell ref="C19:L19"/>
    <x:mergeCell ref="B20:L20"/>
    <x:mergeCell ref="O19:W19"/>
    <x:mergeCell ref="N20:W20"/>
    <x:mergeCell ref="B21:L21"/>
    <x:mergeCell ref="N21:W21"/>
    <x:mergeCell ref="B36:L36"/>
    <x:mergeCell ref="N36:W36"/>
    <x:mergeCell ref="C38:L38"/>
    <x:mergeCell ref="B39:L39"/>
    <x:mergeCell ref="O38:W38"/>
    <x:mergeCell ref="N39:W39"/>
    <x:mergeCell ref="B40:L40"/>
    <x:mergeCell ref="N40:W40"/>
    <x:mergeCell ref="B42:E42"/>
    <x:mergeCell ref="B43:E44"/>
    <x:mergeCell ref="B45:E45"/>
    <x:mergeCell ref="F42:H42"/>
    <x:mergeCell ref="F43:H44"/>
    <x:mergeCell ref="F45:H45"/>
    <x:mergeCell ref="I42:L42"/>
    <x:mergeCell ref="I43:L44"/>
    <x:mergeCell ref="I45:L45"/>
    <x:mergeCell ref="N42:Q42"/>
    <x:mergeCell ref="N43:Q44"/>
    <x:mergeCell ref="N45:Q45"/>
    <x:mergeCell ref="R42:T42"/>
    <x:mergeCell ref="R43:T44"/>
    <x:mergeCell ref="R45:T45"/>
    <x:mergeCell ref="U42:W42"/>
    <x:mergeCell ref="U43:W44"/>
    <x:mergeCell ref="U45:W45"/>
    <x:mergeCell ref="B46:L46"/>
    <x:mergeCell ref="N46:W46"/>
    <x:mergeCell ref="C48:W48"/>
    <x:mergeCell ref="B49:W49"/>
    <x:mergeCell ref="B50:W50"/>
    <x:mergeCell ref="B52:F52"/>
    <x:mergeCell ref="B53:F53"/>
    <x:mergeCell ref="H52:L52"/>
    <x:mergeCell ref="H53:L53"/>
    <x:mergeCell ref="N52:R52"/>
    <x:mergeCell ref="N53:R53"/>
    <x:mergeCell ref="T52:W52"/>
    <x:mergeCell ref="T53:W53"/>
    <x:mergeCell ref="B54:W54"/>
    <x:mergeCell ref="B56:W56"/>
    <x:mergeCell ref="B57:W57"/>
    <x:mergeCell ref="B58:W58"/>
  </x:mergeCells>
  <x:pageMargins left="0.7" right="0.7" top="0.75" bottom="0.75" header="0.3" footer="0.3"/>
  <x:drawing xmlns:r="http://schemas.openxmlformats.org/officeDocument/2006/relationships" r:id="Rc5cb092905e84b9a"/>
</x:worksheet>
</file>

<file path=xl/worksheets/sheet2.xml><?xml version="1.0" encoding="utf-8"?>
<x:worksheet xmlns:x="http://schemas.openxmlformats.org/spreadsheetml/2006/main">
  <x:sheetPr>
    <x:tabColor rgb="FF246BEB"/>
  </x:sheetPr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60" hidden="0" customWidth="1"/>
  </x:cols>
  <x:sheetData>
    <x:row r="1" ht="4.5" customHeight="1">
      <x:c r="A1" s="3"/>
      <x:c r="B1" s="3"/>
      <x:c r="C1" s="3"/>
      <x:c r="D1" s="3"/>
      <x:c r="E1" s="3"/>
      <x:c r="F1" s="3"/>
      <x:c r="G1" s="3"/>
      <x:c r="H1" s="3"/>
      <x:c r="I1" s="4"/>
      <x:c r="J1" s="4"/>
    </x:row>
    <x:row r="2" ht="25" customHeight="1">
      <x:c r="A2" s="5" t="str">
        <x:v>분석 조건</x:v>
      </x:c>
      <x:c r="B2" s="5"/>
      <x:c r="C2" s="5"/>
      <x:c r="D2" s="5"/>
      <x:c r="E2" s="5"/>
      <x:c r="F2" s="5"/>
      <x:c r="G2" s="5"/>
      <x:c r="H2" s="5"/>
    </x:row>
    <x:row r="3" ht="25" customHeight="1">
      <x:c r="A3" s="6" t="str">
        <x:v>노란 칸을 바꾸면 통계와 그래프가 함께 바뀝니다. 날짜는 유효시작일 기준입니다.</x:v>
      </x:c>
      <x:c r="B3" s="6"/>
      <x:c r="C3" s="6"/>
      <x:c r="D3" s="6"/>
      <x:c r="E3" s="6"/>
      <x:c r="F3" s="6"/>
      <x:c r="G3" s="6"/>
      <x:c r="H3" s="6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J4" t="str">
        <x:v>분야 선택값</x:v>
      </x:c>
    </x:row>
    <x:row r="5" ht="25" customHeight="1">
      <x:c r="A5" s="2" t="str">
        <x:v>유효시작일 상한</x:v>
      </x:c>
      <x:c r="B5" s="8" t="n">
        <x:v>46309</x:v>
      </x:c>
      <x:c r="C5" s="6" t="str">
        <x:v>현재 확보한 공개 이력의 날짜 상한</x:v>
      </x:c>
      <x:c r="D5" s="6"/>
      <x:c r="E5" s="6"/>
      <x:c r="F5" s="6"/>
      <x:c r="G5" s="6"/>
      <x:c r="H5" s="6"/>
      <x:c r="J5" t="str">
        <x:v>all</x:v>
      </x:c>
    </x:row>
    <x:row r="6" ht="25" customHeight="1">
      <x:c r="A6" s="2" t="str">
        <x:v>비교연도</x:v>
      </x:c>
      <x:c r="B6" s="7" t="n">
        <x:v>2026</x:v>
      </x:c>
      <x:c r="C6" s="6" t="str">
        <x:v>해당 연도와 전년 같은 기간 비교</x:v>
      </x:c>
      <x:c r="D6" s="6"/>
      <x:c r="E6" s="6"/>
      <x:c r="F6" s="6"/>
      <x:c r="G6" s="6"/>
      <x:c r="H6" s="6"/>
      <x:c r="J6" t="str">
        <x:v>에너지산업</x:v>
      </x:c>
    </x:row>
    <x:row r="7" ht="25" customHeight="1">
      <x:c r="A7" s="2" t="str">
        <x:v>방법론 분야</x:v>
      </x:c>
      <x:c r="B7" s="7" t="str">
        <x:v>all</x:v>
      </x:c>
      <x:c r="C7" s="6" t="str">
        <x:v>all = 전체 선택 분야</x:v>
      </x:c>
      <x:c r="D7" s="6"/>
      <x:c r="E7" s="6"/>
      <x:c r="F7" s="6"/>
      <x:c r="G7" s="6"/>
      <x:c r="H7" s="6"/>
      <x:c r="J7" t="str">
        <x:v>에너지 공급</x:v>
      </x:c>
    </x:row>
    <x:row r="8" ht="25" customHeight="1">
      <x:c r="A8" s="2" t="str">
        <x:v>등록형태</x:v>
      </x:c>
      <x:c r="B8" s="7" t="str">
        <x:v>all</x:v>
      </x:c>
      <x:c r="C8" s="6" t="str">
        <x:v>all / 신청등록 / 직권등록</x:v>
      </x:c>
      <x:c r="D8" s="6"/>
      <x:c r="E8" s="6"/>
      <x:c r="F8" s="6"/>
      <x:c r="G8" s="6"/>
      <x:c r="H8" s="6"/>
      <x:c r="J8" t="str">
        <x:v>에너지 수요</x:v>
      </x:c>
    </x:row>
    <x:row r="9" ht="25" customHeight="1">
      <x:c r="A9" s="2" t="str">
        <x:v>개정 경험</x:v>
      </x:c>
      <x:c r="B9" s="7" t="str">
        <x:v>all</x:v>
      </x:c>
      <x:c r="C9" s="6" t="str">
        <x:v>all / revised(있음) / unrevised(없음)</x:v>
      </x:c>
      <x:c r="D9" s="6"/>
      <x:c r="E9" s="6"/>
      <x:c r="F9" s="6"/>
      <x:c r="G9" s="6"/>
      <x:c r="H9" s="6"/>
      <x:c r="J9" t="str">
        <x:v>제조업</x:v>
      </x:c>
    </x:row>
    <x:row r="10" ht="25" customHeight="1">
      <x:c r="A10" s="2" t="str">
        <x:v>장기 관찰 기준(일)</x:v>
      </x:c>
      <x:c r="B10" s="7" t="n">
        <x:v>1095</x:v>
      </x:c>
      <x:c r="C10" s="6" t="str">
        <x:v>초과 경과한 방법론. 법정기한·효력 판단 아님</x:v>
      </x:c>
      <x:c r="D10" s="6"/>
      <x:c r="E10" s="6"/>
      <x:c r="F10" s="6"/>
      <x:c r="G10" s="6"/>
      <x:c r="H10" s="6"/>
      <x:c r="J10" t="str">
        <x:v>화학산업</x:v>
      </x:c>
    </x:row>
    <x:row r="11" ht="25" customHeight="1">
      <x:c r="A11" s="2" t="str">
        <x:v>최근 변경 기간(일)</x:v>
      </x:c>
      <x:c r="B11" s="7" t="n">
        <x:v>365</x:v>
      </x:c>
      <x:c r="C11" s="6" t="str">
        <x:v>기준일 포함 N일의 유효시작 버전</x:v>
      </x:c>
      <x:c r="D11" s="6"/>
      <x:c r="E11" s="6"/>
      <x:c r="F11" s="6"/>
      <x:c r="G11" s="6"/>
      <x:c r="H11" s="6"/>
      <x:c r="J11" t="str">
        <x:v>건설</x:v>
      </x:c>
    </x:row>
    <x:row r="12" ht="25" customHeight="1">
      <x:c r="A12" s="2" t="str">
        <x:v>코드·방법론 검색</x:v>
      </x:c>
      <x:c r="B12" s="7" t="str"/>
      <x:c r="C12" s="6" t="str">
        <x:v>비우면 전체. 코드·명칭·분야 부분 검색</x:v>
      </x:c>
      <x:c r="D12" s="6"/>
      <x:c r="E12" s="6"/>
      <x:c r="F12" s="6"/>
      <x:c r="G12" s="6"/>
      <x:c r="H12" s="6"/>
      <x:c r="J12" t="str">
        <x:v>할로겐화탄소, 육불화황 생산및소비로부터의 탈루배출</x:v>
      </x:c>
    </x:row>
    <x:row r="13" ht="25" customHeight="1">
      <x:c r="A13" s="2"/>
      <x:c r="B13" s="2"/>
      <x:c r="C13" s="2"/>
      <x:c r="D13" s="2"/>
      <x:c r="E13" s="2"/>
      <x:c r="F13" s="2"/>
      <x:c r="G13" s="2"/>
      <x:c r="H13" s="2"/>
    </x:row>
    <x:row r="14" ht="25" customHeight="1">
      <x:c r="A14" s="2" t="str">
        <x:v>선택연도 비교 종료일</x:v>
      </x:c>
      <x:c r="B14" s="9" t="n">
        <x:f>MIN(DATE(B6,12,31),B5)</x:f>
        <x:v>46309</x:v>
      </x:c>
      <x:c r="C14" s="2"/>
      <x:c r="D14" s="2"/>
      <x:c r="E14" s="2"/>
      <x:c r="F14" s="2"/>
      <x:c r="G14" s="2"/>
      <x:c r="H14" s="2"/>
    </x:row>
    <x:row r="15" ht="25" customHeight="1">
      <x:c r="A15" s="2" t="str">
        <x:v>전년 동기간 종료일</x:v>
      </x:c>
      <x:c r="B15" s="9" t="n">
        <x:f>EDATE(B14,-12)</x:f>
        <x:v>45944</x:v>
      </x:c>
      <x:c r="C15" s="2"/>
      <x:c r="D15" s="2"/>
      <x:c r="E15" s="2"/>
      <x:c r="F15" s="2"/>
      <x:c r="G15" s="2"/>
      <x:c r="H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</x:row>
    <x:row r="18" ht="25" customHeight="1">
      <x:c r="A18" s="10" t="str">
        <x:v>자료 범위</x:v>
      </x:c>
      <x:c r="B18" s="10"/>
      <x:c r="C18" s="10"/>
      <x:c r="D18" s="10"/>
      <x:c r="E18" s="10"/>
      <x:c r="F18" s="10"/>
      <x:c r="G18" s="10"/>
      <x:c r="H18" s="10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</x:row>
    <x:row r="20" ht="25" customHeight="1">
      <x:c r="A20" s="6" t="str">
        <x:v>산업·전환 분석 대상으로 선택한 33개 코드의 ORS 공개 이력 확인분. 산업부문 전체 통계가 아닙니다.</x:v>
      </x:c>
      <x:c r="B20" s="6"/>
      <x:c r="C20" s="6"/>
      <x:c r="D20" s="6"/>
      <x:c r="E20" s="6"/>
      <x:c r="F20" s="6"/>
      <x:c r="G20" s="6"/>
      <x:c r="H20" s="6"/>
    </x:row>
    <x:row r="21" ht="25" customHeight="1">
      <x:c r="A21" s="6" t="str">
        <x:v>방법론 유효시작일. 최초등록일·신청일·심사일과 다릅니다.</x:v>
      </x:c>
      <x:c r="B21" s="6"/>
      <x:c r="C21" s="6"/>
      <x:c r="D21" s="6"/>
      <x:c r="E21" s="6"/>
      <x:c r="F21" s="6"/>
      <x:c r="G21" s="6"/>
      <x:c r="H21" s="6"/>
    </x:row>
    <x:row r="22" ht="25" customHeight="1">
      <x:c r="A22" s="6" t="str">
        <x:v>공개 확인일 2026-10-14. 분야·등록형태는 수집 시점의 공개 분류입니다.</x:v>
      </x:c>
      <x:c r="B22" s="6"/>
      <x:c r="C22" s="6"/>
      <x:c r="D22" s="6"/>
      <x:c r="E22" s="6"/>
      <x:c r="F22" s="6"/>
      <x:c r="G22" s="6"/>
      <x:c r="H22" s="6"/>
    </x:row>
    <x:row r="23" ht="25" customHeight="1">
      <x:c r="A23" s="6" t="str">
        <x:v>공개 신청·심사·제출기한 데이터는 미확보입니다. 비공개 원장은 포함하지 않았습니다.</x:v>
      </x:c>
      <x:c r="B23" s="6"/>
      <x:c r="C23" s="6"/>
      <x:c r="D23" s="6"/>
      <x:c r="E23" s="6"/>
      <x:c r="F23" s="6"/>
      <x:c r="G23" s="6"/>
      <x:c r="H23" s="6"/>
    </x:row>
    <x:row r="24" ht="25" customHeight="1">
      <x:c r="A24" s="6" t="str">
        <x:v>과거 상한 선택은 현재 공개 이력의 재구성입니다. 당시 전수 현황을 의미하지 않습니다.</x:v>
      </x:c>
      <x:c r="B24" s="6"/>
      <x:c r="C24" s="6"/>
      <x:c r="D24" s="6"/>
      <x:c r="E24" s="6"/>
      <x:c r="F24" s="6"/>
      <x:c r="G24" s="6"/>
      <x:c r="H24" s="6"/>
    </x:row>
    <x:row r="25" ht="25" customHeight="1">
      <x:c r="A25" s="6" t="str">
        <x:v>방법론·버전 표의 포함 열 1을 필터하면 선택 조건의 목록을 확인할 수 있습니다.</x:v>
      </x:c>
      <x:c r="B25" s="6"/>
      <x:c r="C25" s="6"/>
      <x:c r="D25" s="6"/>
      <x:c r="E25" s="6"/>
      <x:c r="F25" s="6"/>
      <x:c r="G25" s="6"/>
      <x:c r="H25" s="6"/>
    </x:row>
    <x:row r="26" ht="25" customHeight="1">
      <x:c r="A26" s="6" t="str">
        <x:v>목록은 33개 코드·40개 버전의 고정 확인본입니다. 새 원장 갱신 시 계산 범위 확장이 필요합니다.</x:v>
      </x:c>
      <x:c r="B26" s="6"/>
      <x:c r="C26" s="6"/>
      <x:c r="D26" s="6"/>
      <x:c r="E26" s="6"/>
      <x:c r="F26" s="6"/>
      <x:c r="G26" s="6"/>
      <x:c r="H26" s="6"/>
    </x:row>
    <x:row r="27" ht="25" customHeight="1">
      <x:c r="A27" s="6" t="str">
        <x:v>출처: https://ors.gir.go.kr/home/orme010/activeList.do?menuId=12</x:v>
      </x:c>
      <x:c r="B27" s="6"/>
      <x:c r="C27" s="6"/>
      <x:c r="D27" s="6"/>
      <x:c r="E27" s="6"/>
      <x:c r="F27" s="6"/>
      <x:c r="G27" s="6"/>
      <x:c r="H27" s="6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</x:sheetData>
  <x:mergeCells>
    <x:mergeCell ref="A2:H2"/>
    <x:mergeCell ref="A3:H3"/>
    <x:mergeCell ref="C5:H5"/>
    <x:mergeCell ref="C6:H6"/>
    <x:mergeCell ref="C7:H7"/>
    <x:mergeCell ref="C8:H8"/>
    <x:mergeCell ref="C9:H9"/>
    <x:mergeCell ref="C10:H10"/>
    <x:mergeCell ref="C11:H11"/>
    <x:mergeCell ref="C12:H12"/>
    <x:mergeCell ref="A18:H18"/>
    <x:mergeCell ref="A20:H20"/>
    <x:mergeCell ref="A21:H21"/>
    <x:mergeCell ref="A22:H22"/>
    <x:mergeCell ref="A23:H23"/>
    <x:mergeCell ref="A24:H24"/>
    <x:mergeCell ref="A25:H25"/>
    <x:mergeCell ref="A26:H26"/>
    <x:mergeCell ref="A27:H27"/>
  </x:mergeCells>
  <x:dataValidations count="6">
    <x:dataValidation type="list" sqref="B7">
      <x:formula1>'분석조건'!$J$5:$J$12</x:formula1>
    </x:dataValidation>
    <x:dataValidation type="list" sqref="B8">
      <x:formula1>"all,신청등록,직권등록"</x:formula1>
    </x:dataValidation>
    <x:dataValidation type="list" sqref="B9">
      <x:formula1>"all,revised,unrevised"</x:formula1>
    </x:dataValidation>
    <x:dataValidation type="whole" operator="between" sqref="B6">
      <x:formula1>2015</x:formula1>
      <x:formula2>YEAR(B5)</x:formula2>
    </x:dataValidation>
    <x:dataValidation type="date" operator="between" sqref="B5">
      <x:formula1>42005</x:formula1>
      <x:formula2>46309</x:formula2>
    </x:dataValidation>
    <x:dataValidation type="whole" operator="between" sqref="B10:B11">
      <x:formula1>1</x:formula1>
      <x:formula2>36500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6BEB"/>
  </x:sheetPr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4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2"/>
    </x:row>
    <x:row r="2" ht="25" customHeight="1">
      <x:c r="A2" s="5" t="str">
        <x:v>공개자료 통계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  <x:c r="P2" s="2"/>
      <x:c r="Q2" s="2"/>
      <x:c r="R2" s="2"/>
      <x:c r="S2" s="2"/>
    </x:row>
    <x:row r="3" ht="25" customHeight="1">
      <x:c r="A3" s="6" t="str">
        <x:v>신규·개정은 버전 단위, 분야·경과·개정 경험은 방법론 단위입니다.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2"/>
      <x:c r="M3" s="2"/>
      <x:c r="N3" s="2"/>
      <x:c r="O3" s="2"/>
      <x:c r="P3" s="2"/>
      <x:c r="Q3" s="2"/>
      <x:c r="R3" s="2"/>
      <x:c r="S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15" t="str">
        <x:v>지표</x:v>
      </x:c>
      <x:c r="B6" s="15" t="str">
        <x:v>값</x:v>
      </x:c>
      <x:c r="C6" s="2"/>
      <x:c r="D6" s="15" t="str">
        <x:v>유효시작 연도</x:v>
      </x:c>
      <x:c r="E6" s="15" t="str">
        <x:v>최초 버전</x:v>
      </x:c>
      <x:c r="F6" s="15" t="str">
        <x:v>개정 버전</x:v>
      </x:c>
      <x:c r="G6" s="15" t="str">
        <x:v>누적 방법론</x:v>
      </x:c>
      <x:c r="H6" s="15" t="str">
        <x:v>연간 버전</x:v>
      </x:c>
      <x:c r="I6" s="15" t="str">
        <x:v>분야 원문</x:v>
      </x:c>
      <x:c r="J6" s="15" t="str">
        <x:v>방법론</x:v>
      </x:c>
      <x:c r="K6" s="15" t="str">
        <x:v>비중</x:v>
      </x:c>
      <x:c r="L6" s="2"/>
      <x:c r="M6" s="15" t="str">
        <x:v>최신 버전 경과</x:v>
      </x:c>
      <x:c r="N6" s="15" t="str">
        <x:v>방법론</x:v>
      </x:c>
      <x:c r="O6" s="2"/>
      <x:c r="P6" s="2"/>
      <x:c r="Q6" s="2"/>
      <x:c r="R6" s="2"/>
      <x:c r="S6" s="2"/>
    </x:row>
    <x:row r="7" ht="25" customHeight="1">
      <x:c r="A7" s="2" t="str">
        <x:v>공개 확인 방법론</x:v>
      </x:c>
      <x:c r="B7" s="2" t="n">
        <x:f>SUM('방법론'!L7:L39)</x:f>
        <x:v>33</x:v>
      </x:c>
      <x:c r="C7" s="2"/>
      <x:c r="D7" s="2" t="str">
        <x:v>2015</x:v>
      </x:c>
      <x:c r="E7" s="2" t="n">
        <x:f>IF(VALUE(D7)&gt;YEAR('분석조건'!$B$5),"",COUNTIFS('버전'!$K$7:$K$46,1,'버전'!$D$7:$D$46,"new",'버전'!$L$7:$L$46,D7))</x:f>
        <x:v>7</x:v>
      </x:c>
      <x:c r="F7" s="2" t="n">
        <x:f>IF(VALUE(D7)&gt;YEAR('분석조건'!$B$5),"",COUNTIFS('버전'!$K$7:$K$46,1,'버전'!$D$7:$D$46,"revision",'버전'!$L$7:$L$46,D7))</x:f>
        <x:v>0</x:v>
      </x:c>
      <x:c r="G7" s="2" t="n">
        <x:f>IF(VALUE(D7)&gt;YEAR('분석조건'!$B$5),"",COUNTIFS('방법론'!$L$7:$L$39,1,'방법론'!$H$7:$H$39,"&gt;0",'방법론'!$H$7:$H$39,"&lt;="&amp;DATE(D7,12,31)))</x:f>
        <x:v>7</x:v>
      </x:c>
      <x:c r="H7" s="27" t="n">
        <x:f>IF(ISNUMBER(E7),E7+F7,"")</x:f>
        <x:v>7</x:v>
      </x:c>
      <x:c r="I7" s="2" t="str">
        <x:v>건설</x:v>
      </x:c>
      <x:c r="J7" s="2" t="n">
        <x:f>COUNTIFS('방법론'!$L$7:$L$39,1,'방법론'!$C$7:$C$39,I7)</x:f>
        <x:v>1</x:v>
      </x:c>
      <x:c r="K7" s="20" t="n">
        <x:f>IF($B$7=0,"계산 불가",J7/$B$7)</x:f>
        <x:v>0.030303030303030304</x:v>
      </x:c>
      <x:c r="L7" s="2"/>
      <x:c r="M7" s="2" t="str">
        <x:v>1년 이내</x:v>
      </x:c>
      <x:c r="N7" s="2" t="n">
        <x:f>COUNTIFS('방법론'!L7:L39,1,'방법론'!K7:K39,"&lt;=365")</x:f>
        <x:v>4</x:v>
      </x:c>
      <x:c r="O7" s="2"/>
      <x:c r="P7" s="2"/>
      <x:c r="Q7" s="2"/>
      <x:c r="R7" s="2"/>
      <x:c r="S7" s="2"/>
    </x:row>
    <x:row r="8" ht="25" customHeight="1">
      <x:c r="A8" s="2" t="str">
        <x:v>공개 버전</x:v>
      </x:c>
      <x:c r="B8" s="2" t="n">
        <x:f>SUM('버전'!K7:K46)</x:f>
        <x:v>40</x:v>
      </x:c>
      <x:c r="C8" s="2"/>
      <x:c r="D8" s="2" t="str">
        <x:v>2016</x:v>
      </x:c>
      <x:c r="E8" s="2" t="n">
        <x:f>IF(VALUE(D8)&gt;YEAR('분석조건'!$B$5),"",COUNTIFS('버전'!$K$7:$K$46,1,'버전'!$D$7:$D$46,"new",'버전'!$L$7:$L$46,D8))</x:f>
        <x:v>3</x:v>
      </x:c>
      <x:c r="F8" s="2" t="n">
        <x:f>IF(VALUE(D8)&gt;YEAR('분석조건'!$B$5),"",COUNTIFS('버전'!$K$7:$K$46,1,'버전'!$D$7:$D$46,"revision",'버전'!$L$7:$L$46,D8))</x:f>
        <x:v>0</x:v>
      </x:c>
      <x:c r="G8" s="2" t="n">
        <x:f>IF(VALUE(D8)&gt;YEAR('분석조건'!$B$5),"",COUNTIFS('방법론'!$L$7:$L$39,1,'방법론'!$H$7:$H$39,"&gt;0",'방법론'!$H$7:$H$39,"&lt;="&amp;DATE(D8,12,31)))</x:f>
        <x:v>10</x:v>
      </x:c>
      <x:c r="H8" s="27" t="n">
        <x:f>IF(ISNUMBER(E8),E8+F8,"")</x:f>
        <x:v>3</x:v>
      </x:c>
      <x:c r="I8" s="2" t="str">
        <x:v>에너지 공급</x:v>
      </x:c>
      <x:c r="J8" s="2" t="n">
        <x:f>COUNTIFS('방법론'!$L$7:$L$39,1,'방법론'!$C$7:$C$39,I8)</x:f>
        <x:v>3</x:v>
      </x:c>
      <x:c r="K8" s="20" t="n">
        <x:f>IF($B$7=0,"계산 불가",J8/$B$7)</x:f>
        <x:v>0.09090909090909091</x:v>
      </x:c>
      <x:c r="L8" s="2"/>
      <x:c r="M8" s="2" t="str">
        <x:v>1~3년</x:v>
      </x:c>
      <x:c r="N8" s="2" t="n">
        <x:f>COUNTIFS('방법론'!L7:L39,1,'방법론'!K7:K39,"&gt;365",'방법론'!K7:K39,"&lt;=1095")</x:f>
        <x:v>6</x:v>
      </x:c>
      <x:c r="O8" s="2"/>
      <x:c r="P8" s="2"/>
      <x:c r="Q8" s="2"/>
      <x:c r="R8" s="2"/>
      <x:c r="S8" s="2"/>
    </x:row>
    <x:row r="9" ht="25" customHeight="1">
      <x:c r="A9" s="2" t="str">
        <x:v>개정 경험 방법론</x:v>
      </x:c>
      <x:c r="B9" s="2" t="n">
        <x:f>COUNTIFS('방법론'!L7:L39,1,'방법론'!I7:I39,"&gt;0")</x:f>
        <x:v>6</x:v>
      </x:c>
      <x:c r="C9" s="2"/>
      <x:c r="D9" s="2" t="str">
        <x:v>2017</x:v>
      </x:c>
      <x:c r="E9" s="2" t="n">
        <x:f>IF(VALUE(D9)&gt;YEAR('분석조건'!$B$5),"",COUNTIFS('버전'!$K$7:$K$46,1,'버전'!$D$7:$D$46,"new",'버전'!$L$7:$L$46,D9))</x:f>
        <x:v>3</x:v>
      </x:c>
      <x:c r="F9" s="2" t="n">
        <x:f>IF(VALUE(D9)&gt;YEAR('분석조건'!$B$5),"",COUNTIFS('버전'!$K$7:$K$46,1,'버전'!$D$7:$D$46,"revision",'버전'!$L$7:$L$46,D9))</x:f>
        <x:v>0</x:v>
      </x:c>
      <x:c r="G9" s="2" t="n">
        <x:f>IF(VALUE(D9)&gt;YEAR('분석조건'!$B$5),"",COUNTIFS('방법론'!$L$7:$L$39,1,'방법론'!$H$7:$H$39,"&gt;0",'방법론'!$H$7:$H$39,"&lt;="&amp;DATE(D9,12,31)))</x:f>
        <x:v>13</x:v>
      </x:c>
      <x:c r="H9" s="27" t="n">
        <x:f>IF(ISNUMBER(E9),E9+F9,"")</x:f>
        <x:v>3</x:v>
      </x:c>
      <x:c r="I9" s="2" t="str">
        <x:v>에너지 수요</x:v>
      </x:c>
      <x:c r="J9" s="2" t="n">
        <x:f>COUNTIFS('방법론'!$L$7:$L$39,1,'방법론'!$C$7:$C$39,I9)</x:f>
        <x:v>12</x:v>
      </x:c>
      <x:c r="K9" s="20" t="n">
        <x:f>IF($B$7=0,"계산 불가",J9/$B$7)</x:f>
        <x:v>0.36363636363636365</x:v>
      </x:c>
      <x:c r="L9" s="2"/>
      <x:c r="M9" s="2" t="str">
        <x:v>3년 초과</x:v>
      </x:c>
      <x:c r="N9" s="2" t="n">
        <x:f>COUNTIFS('방법론'!L7:L39,1,'방법론'!K7:K39,"&gt;1095")</x:f>
        <x:v>23</x:v>
      </x:c>
      <x:c r="O9" s="2"/>
      <x:c r="P9" s="2"/>
      <x:c r="Q9" s="2"/>
      <x:c r="R9" s="2"/>
      <x:c r="S9" s="2"/>
    </x:row>
    <x:row r="10" ht="25" customHeight="1">
      <x:c r="A10" s="2" t="str">
        <x:v>선택연도 최초 버전</x:v>
      </x:c>
      <x:c r="B10" s="2" t="n">
        <x:f>COUNTIFS('버전'!K7:K46,1,'버전'!D7:D46,"new",'버전'!L7:L46,'분석조건'!B6)</x:f>
        <x:v>0</x:v>
      </x:c>
      <x:c r="C10" s="2"/>
      <x:c r="D10" s="2" t="str">
        <x:v>2018</x:v>
      </x:c>
      <x:c r="E10" s="2" t="n">
        <x:f>IF(VALUE(D10)&gt;YEAR('분석조건'!$B$5),"",COUNTIFS('버전'!$K$7:$K$46,1,'버전'!$D$7:$D$46,"new",'버전'!$L$7:$L$46,D10))</x:f>
        <x:v>0</x:v>
      </x:c>
      <x:c r="F10" s="2" t="n">
        <x:f>IF(VALUE(D10)&gt;YEAR('분석조건'!$B$5),"",COUNTIFS('버전'!$K$7:$K$46,1,'버전'!$D$7:$D$46,"revision",'버전'!$L$7:$L$46,D10))</x:f>
        <x:v>0</x:v>
      </x:c>
      <x:c r="G10" s="2" t="n">
        <x:f>IF(VALUE(D10)&gt;YEAR('분석조건'!$B$5),"",COUNTIFS('방법론'!$L$7:$L$39,1,'방법론'!$H$7:$H$39,"&gt;0",'방법론'!$H$7:$H$39,"&lt;="&amp;DATE(D10,12,31)))</x:f>
        <x:v>13</x:v>
      </x:c>
      <x:c r="H10" s="27" t="n">
        <x:f>IF(ISNUMBER(E10),E10+F10,"")</x:f>
        <x:v>0</x:v>
      </x:c>
      <x:c r="I10" s="2" t="str">
        <x:v>에너지산업</x:v>
      </x:c>
      <x:c r="J10" s="2" t="n">
        <x:f>COUNTIFS('방법론'!$L$7:$L$39,1,'방법론'!$C$7:$C$39,I10)</x:f>
        <x:v>8</x:v>
      </x:c>
      <x:c r="K10" s="20" t="n">
        <x:f>IF($B$7=0,"계산 불가",J10/$B$7)</x:f>
        <x:v>0.24242424242424243</x:v>
      </x:c>
      <x:c r="L10" s="2"/>
      <x:c r="M10" s="2"/>
      <x:c r="N10" s="2"/>
      <x:c r="O10" s="2"/>
      <x:c r="P10" s="2"/>
      <x:c r="Q10" s="2"/>
      <x:c r="R10" s="2"/>
      <x:c r="S10" s="2"/>
    </x:row>
    <x:row r="11" ht="25" customHeight="1">
      <x:c r="A11" s="2" t="str">
        <x:v>선택연도 개정 버전</x:v>
      </x:c>
      <x:c r="B11" s="2" t="n">
        <x:f>COUNTIFS('버전'!K7:K46,1,'버전'!D7:D46,"revision",'버전'!L7:L46,'분석조건'!B6)</x:f>
        <x:v>2</x:v>
      </x:c>
      <x:c r="C11" s="2"/>
      <x:c r="D11" s="2" t="str">
        <x:v>2019</x:v>
      </x:c>
      <x:c r="E11" s="2" t="n">
        <x:f>IF(VALUE(D11)&gt;YEAR('분석조건'!$B$5),"",COUNTIFS('버전'!$K$7:$K$46,1,'버전'!$D$7:$D$46,"new",'버전'!$L$7:$L$46,D11))</x:f>
        <x:v>0</x:v>
      </x:c>
      <x:c r="F11" s="2" t="n">
        <x:f>IF(VALUE(D11)&gt;YEAR('분석조건'!$B$5),"",COUNTIFS('버전'!$K$7:$K$46,1,'버전'!$D$7:$D$46,"revision",'버전'!$L$7:$L$46,D11))</x:f>
        <x:v>0</x:v>
      </x:c>
      <x:c r="G11" s="2" t="n">
        <x:f>IF(VALUE(D11)&gt;YEAR('분석조건'!$B$5),"",COUNTIFS('방법론'!$L$7:$L$39,1,'방법론'!$H$7:$H$39,"&gt;0",'방법론'!$H$7:$H$39,"&lt;="&amp;DATE(D11,12,31)))</x:f>
        <x:v>13</x:v>
      </x:c>
      <x:c r="H11" s="27" t="n">
        <x:f>IF(ISNUMBER(E11),E11+F11,"")</x:f>
        <x:v>0</x:v>
      </x:c>
      <x:c r="I11" s="2" t="str">
        <x:v>제조업</x:v>
      </x:c>
      <x:c r="J11" s="2" t="n">
        <x:f>COUNTIFS('방법론'!$L$7:$L$39,1,'방법론'!$C$7:$C$39,I11)</x:f>
        <x:v>2</x:v>
      </x:c>
      <x:c r="K11" s="20" t="n">
        <x:f>IF($B$7=0,"계산 불가",J11/$B$7)</x:f>
        <x:v>0.06060606060606061</x:v>
      </x:c>
      <x:c r="L11" s="2"/>
      <x:c r="M11" s="2"/>
      <x:c r="N11" s="2"/>
      <x:c r="O11" s="2"/>
      <x:c r="P11" s="2"/>
      <x:c r="Q11" s="2"/>
      <x:c r="R11" s="2"/>
      <x:c r="S11" s="2"/>
    </x:row>
    <x:row r="12" ht="34" customHeight="1">
      <x:c r="A12" s="2" t="str">
        <x:v>최근 변경 버전</x:v>
      </x:c>
      <x:c r="B12" s="2" t="n">
        <x:f>SUM('버전'!M7:M46)</x:f>
        <x:v>4</x:v>
      </x:c>
      <x:c r="C12" s="2"/>
      <x:c r="D12" s="2" t="str">
        <x:v>2020</x:v>
      </x:c>
      <x:c r="E12" s="2" t="n">
        <x:f>IF(VALUE(D12)&gt;YEAR('분석조건'!$B$5),"",COUNTIFS('버전'!$K$7:$K$46,1,'버전'!$D$7:$D$46,"new",'버전'!$L$7:$L$46,D12))</x:f>
        <x:v>5</x:v>
      </x:c>
      <x:c r="F12" s="2" t="n">
        <x:f>IF(VALUE(D12)&gt;YEAR('분석조건'!$B$5),"",COUNTIFS('버전'!$K$7:$K$46,1,'버전'!$D$7:$D$46,"revision",'버전'!$L$7:$L$46,D12))</x:f>
        <x:v>0</x:v>
      </x:c>
      <x:c r="G12" s="2" t="n">
        <x:f>IF(VALUE(D12)&gt;YEAR('분석조건'!$B$5),"",COUNTIFS('방법론'!$L$7:$L$39,1,'방법론'!$H$7:$H$39,"&gt;0",'방법론'!$H$7:$H$39,"&lt;="&amp;DATE(D12,12,31)))</x:f>
        <x:v>18</x:v>
      </x:c>
      <x:c r="H12" s="27" t="n">
        <x:f>IF(ISNUMBER(E12),E12+F12,"")</x:f>
        <x:v>5</x:v>
      </x:c>
      <x:c r="I12" s="2" t="str">
        <x:v>할로겐화탄소, 육불화황 생산및소비로부터의 탈루배출</x:v>
      </x:c>
      <x:c r="J12" s="2" t="n">
        <x:f>COUNTIFS('방법론'!$L$7:$L$39,1,'방법론'!$C$7:$C$39,I12)</x:f>
        <x:v>6</x:v>
      </x:c>
      <x:c r="K12" s="20" t="n">
        <x:f>IF($B$7=0,"계산 불가",J12/$B$7)</x:f>
        <x:v>0.18181818181818182</x:v>
      </x:c>
      <x:c r="L12" s="2"/>
      <x:c r="M12" s="15" t="str">
        <x:v>최신 버전</x:v>
      </x:c>
      <x:c r="N12" s="15" t="str">
        <x:v>방법론</x:v>
      </x:c>
      <x:c r="O12" s="2"/>
      <x:c r="P12" s="2"/>
      <x:c r="Q12" s="2"/>
      <x:c r="R12" s="2"/>
      <x:c r="S12" s="2"/>
    </x:row>
    <x:row r="13" ht="25" customHeight="1">
      <x:c r="A13" s="2" t="str">
        <x:v>장기 관찰 방법론</x:v>
      </x:c>
      <x:c r="B13" s="2" t="n">
        <x:f>SUM('방법론'!M7:M39)</x:f>
        <x:v>23</x:v>
      </x:c>
      <x:c r="C13" s="2"/>
      <x:c r="D13" s="2" t="str">
        <x:v>2021</x:v>
      </x:c>
      <x:c r="E13" s="2" t="n">
        <x:f>IF(VALUE(D13)&gt;YEAR('분석조건'!$B$5),"",COUNTIFS('버전'!$K$7:$K$46,1,'버전'!$D$7:$D$46,"new",'버전'!$L$7:$L$46,D13))</x:f>
        <x:v>3</x:v>
      </x:c>
      <x:c r="F13" s="2" t="n">
        <x:f>IF(VALUE(D13)&gt;YEAR('분석조건'!$B$5),"",COUNTIFS('버전'!$K$7:$K$46,1,'버전'!$D$7:$D$46,"revision",'버전'!$L$7:$L$46,D13))</x:f>
        <x:v>2</x:v>
      </x:c>
      <x:c r="G13" s="2" t="n">
        <x:f>IF(VALUE(D13)&gt;YEAR('분석조건'!$B$5),"",COUNTIFS('방법론'!$L$7:$L$39,1,'방법론'!$H$7:$H$39,"&gt;0",'방법론'!$H$7:$H$39,"&lt;="&amp;DATE(D13,12,31)))</x:f>
        <x:v>21</x:v>
      </x:c>
      <x:c r="H13" s="27" t="n">
        <x:f>IF(ISNUMBER(E13),E13+F13,"")</x:f>
        <x:v>5</x:v>
      </x:c>
      <x:c r="I13" s="2" t="str">
        <x:v>화학산업</x:v>
      </x:c>
      <x:c r="J13" s="2" t="n">
        <x:f>COUNTIFS('방법론'!$L$7:$L$39,1,'방법론'!$C$7:$C$39,I13)</x:f>
        <x:v>1</x:v>
      </x:c>
      <x:c r="K13" s="20" t="n">
        <x:f>IF($B$7=0,"계산 불가",J13/$B$7)</x:f>
        <x:v>0.030303030303030304</x:v>
      </x:c>
      <x:c r="L13" s="2"/>
      <x:c r="M13" s="2" t="str">
        <x:v>01</x:v>
      </x:c>
      <x:c r="N13" s="2" t="n">
        <x:f>COUNTIFS('방법론'!L7:L39,1,'방법론'!G7:G39,M13)</x:f>
        <x:v>27</x:v>
      </x:c>
      <x:c r="O13" s="2"/>
      <x:c r="P13" s="2"/>
      <x:c r="Q13" s="2"/>
      <x:c r="R13" s="2"/>
      <x:c r="S13" s="2"/>
    </x:row>
    <x:row r="14" ht="25" customHeight="1">
      <x:c r="A14" s="2" t="str">
        <x:v>개정 경험 비중</x:v>
      </x:c>
      <x:c r="B14" s="20" t="n">
        <x:f>IF(B7=0,"계산 불가",B9/B7)</x:f>
        <x:v>0.18181818181818182</x:v>
      </x:c>
      <x:c r="C14" s="2"/>
      <x:c r="D14" s="2" t="str">
        <x:v>2022</x:v>
      </x:c>
      <x:c r="E14" s="2" t="n">
        <x:f>IF(VALUE(D14)&gt;YEAR('분석조건'!$B$5),"",COUNTIFS('버전'!$K$7:$K$46,1,'버전'!$D$7:$D$46,"new",'버전'!$L$7:$L$46,D14))</x:f>
        <x:v>3</x:v>
      </x:c>
      <x:c r="F14" s="2" t="n">
        <x:f>IF(VALUE(D14)&gt;YEAR('분석조건'!$B$5),"",COUNTIFS('버전'!$K$7:$K$46,1,'버전'!$D$7:$D$46,"revision",'버전'!$L$7:$L$46,D14))</x:f>
        <x:v>0</x:v>
      </x:c>
      <x:c r="G14" s="2" t="n">
        <x:f>IF(VALUE(D14)&gt;YEAR('분석조건'!$B$5),"",COUNTIFS('방법론'!$L$7:$L$39,1,'방법론'!$H$7:$H$39,"&gt;0",'방법론'!$H$7:$H$39,"&lt;="&amp;DATE(D14,12,31)))</x:f>
        <x:v>24</x:v>
      </x:c>
      <x:c r="H14" s="27" t="n">
        <x:f>IF(ISNUMBER(E14),E14+F14,"")</x:f>
        <x:v>3</x:v>
      </x:c>
      <x:c r="I14" s="2"/>
      <x:c r="J14" s="2"/>
      <x:c r="K14" s="2"/>
      <x:c r="L14" s="2"/>
      <x:c r="M14" s="2" t="str">
        <x:v>02</x:v>
      </x:c>
      <x:c r="N14" s="2" t="n">
        <x:f>COUNTIFS('방법론'!L7:L39,1,'방법론'!G7:G39,M14)</x:f>
        <x:v>5</x:v>
      </x:c>
      <x:c r="O14" s="2"/>
      <x:c r="P14" s="2"/>
      <x:c r="Q14" s="2"/>
      <x:c r="R14" s="2"/>
      <x:c r="S14" s="2"/>
    </x:row>
    <x:row r="15" ht="25" customHeight="1">
      <x:c r="A15" s="2" t="str">
        <x:v>선택연도 동기간</x:v>
      </x:c>
      <x:c r="B15" s="2" t="n">
        <x:f>SUM('버전'!N7:N46)</x:f>
        <x:v>2</x:v>
      </x:c>
      <x:c r="C15" s="2"/>
      <x:c r="D15" s="2" t="str">
        <x:v>2023</x:v>
      </x:c>
      <x:c r="E15" s="2" t="n">
        <x:f>IF(VALUE(D15)&gt;YEAR('분석조건'!$B$5),"",COUNTIFS('버전'!$K$7:$K$46,1,'버전'!$D$7:$D$46,"new",'버전'!$L$7:$L$46,D15))</x:f>
        <x:v>2</x:v>
      </x:c>
      <x:c r="F15" s="2" t="n">
        <x:f>IF(VALUE(D15)&gt;YEAR('분석조건'!$B$5),"",COUNTIFS('버전'!$K$7:$K$46,1,'버전'!$D$7:$D$46,"revision",'버전'!$L$7:$L$46,D15))</x:f>
        <x:v>0</x:v>
      </x:c>
      <x:c r="G15" s="2" t="n">
        <x:f>IF(VALUE(D15)&gt;YEAR('분석조건'!$B$5),"",COUNTIFS('방법론'!$L$7:$L$39,1,'방법론'!$H$7:$H$39,"&gt;0",'방법론'!$H$7:$H$39,"&lt;="&amp;DATE(D15,12,31)))</x:f>
        <x:v>26</x:v>
      </x:c>
      <x:c r="H15" s="27" t="n">
        <x:f>IF(ISNUMBER(E15),E15+F15,"")</x:f>
        <x:v>2</x:v>
      </x:c>
      <x:c r="I15" s="2"/>
      <x:c r="J15" s="2"/>
      <x:c r="K15" s="2"/>
      <x:c r="L15" s="2"/>
      <x:c r="M15" s="2" t="str">
        <x:v>03</x:v>
      </x:c>
      <x:c r="N15" s="2" t="n">
        <x:f>COUNTIFS('방법론'!L7:L39,1,'방법론'!G7:G39,M15)</x:f>
        <x:v>1</x:v>
      </x:c>
      <x:c r="O15" s="2"/>
      <x:c r="P15" s="2"/>
      <x:c r="Q15" s="2"/>
      <x:c r="R15" s="2"/>
      <x:c r="S15" s="2"/>
    </x:row>
    <x:row r="16" ht="25" customHeight="1">
      <x:c r="A16" s="2" t="str">
        <x:v>전년 동기간</x:v>
      </x:c>
      <x:c r="B16" s="2" t="n">
        <x:f>SUM('버전'!O7:O46)</x:f>
        <x:v>3</x:v>
      </x:c>
      <x:c r="C16" s="2"/>
      <x:c r="D16" s="2" t="str">
        <x:v>2024</x:v>
      </x:c>
      <x:c r="E16" s="2" t="n">
        <x:f>IF(VALUE(D16)&gt;YEAR('분석조건'!$B$5),"",COUNTIFS('버전'!$K$7:$K$46,1,'버전'!$D$7:$D$46,"new",'버전'!$L$7:$L$46,D16))</x:f>
        <x:v>4</x:v>
      </x:c>
      <x:c r="F16" s="2" t="n">
        <x:f>IF(VALUE(D16)&gt;YEAR('분석조건'!$B$5),"",COUNTIFS('버전'!$K$7:$K$46,1,'버전'!$D$7:$D$46,"revision",'버전'!$L$7:$L$46,D16))</x:f>
        <x:v>1</x:v>
      </x:c>
      <x:c r="G16" s="2" t="n">
        <x:f>IF(VALUE(D16)&gt;YEAR('분석조건'!$B$5),"",COUNTIFS('방법론'!$L$7:$L$39,1,'방법론'!$H$7:$H$39,"&gt;0",'방법론'!$H$7:$H$39,"&lt;="&amp;DATE(D16,12,31)))</x:f>
        <x:v>30</x:v>
      </x:c>
      <x:c r="H16" s="27" t="n">
        <x:f>IF(ISNUMBER(E16),E16+F16,"")</x:f>
        <x:v>5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5" customHeight="1">
      <x:c r="A17" s="2" t="str">
        <x:v>전년 대비 증감</x:v>
      </x:c>
      <x:c r="B17" s="2" t="n">
        <x:f>B15-B16</x:f>
        <x:v>-1</x:v>
      </x:c>
      <x:c r="C17" s="2"/>
      <x:c r="D17" s="2" t="str">
        <x:v>2025</x:v>
      </x:c>
      <x:c r="E17" s="2" t="n">
        <x:f>IF(VALUE(D17)&gt;YEAR('분석조건'!$B$5),"",COUNTIFS('버전'!$K$7:$K$46,1,'버전'!$D$7:$D$46,"new",'버전'!$L$7:$L$46,D17))</x:f>
        <x:v>3</x:v>
      </x:c>
      <x:c r="F17" s="2" t="n">
        <x:f>IF(VALUE(D17)&gt;YEAR('분석조건'!$B$5),"",COUNTIFS('버전'!$K$7:$K$46,1,'버전'!$D$7:$D$46,"revision",'버전'!$L$7:$L$46,D17))</x:f>
        <x:v>2</x:v>
      </x:c>
      <x:c r="G17" s="2" t="n">
        <x:f>IF(VALUE(D17)&gt;YEAR('분석조건'!$B$5),"",COUNTIFS('방법론'!$L$7:$L$39,1,'방법론'!$H$7:$H$39,"&gt;0",'방법론'!$H$7:$H$39,"&lt;="&amp;DATE(D17,12,31)))</x:f>
        <x:v>33</x:v>
      </x:c>
      <x:c r="H17" s="27" t="n">
        <x:f>IF(ISNUMBER(E17),E17+F17,"")</x:f>
        <x:v>5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34" customHeight="1">
      <x:c r="A18" s="2" t="str">
        <x:v>전년 대비 증감률</x:v>
      </x:c>
      <x:c r="B18" s="20" t="n">
        <x:f>IF(B16=0,"계산 불가",B17/B16)</x:f>
        <x:v>-0.3333333333333333</x:v>
      </x:c>
      <x:c r="C18" s="2"/>
      <x:c r="D18" s="2" t="str">
        <x:v>2026</x:v>
      </x:c>
      <x:c r="E18" s="2" t="n">
        <x:f>IF(VALUE(D18)&gt;YEAR('분석조건'!$B$5),"",COUNTIFS('버전'!$K$7:$K$46,1,'버전'!$D$7:$D$46,"new",'버전'!$L$7:$L$46,D18))</x:f>
        <x:v>0</x:v>
      </x:c>
      <x:c r="F18" s="2" t="n">
        <x:f>IF(VALUE(D18)&gt;YEAR('분석조건'!$B$5),"",COUNTIFS('버전'!$K$7:$K$46,1,'버전'!$D$7:$D$46,"revision",'버전'!$L$7:$L$46,D18))</x:f>
        <x:v>2</x:v>
      </x:c>
      <x:c r="G18" s="2" t="n">
        <x:f>IF(VALUE(D18)&gt;YEAR('분석조건'!$B$5),"",COUNTIFS('방법론'!$L$7:$L$39,1,'방법론'!$H$7:$H$39,"&gt;0",'방법론'!$H$7:$H$39,"&lt;="&amp;DATE(D18,12,31)))</x:f>
        <x:v>33</x:v>
      </x:c>
      <x:c r="H18" s="27" t="n">
        <x:f>IF(ISNUMBER(E18),E18+F18,"")</x:f>
        <x:v>2</x:v>
      </x:c>
      <x:c r="I18" s="2"/>
      <x:c r="J18" s="2"/>
      <x:c r="K18" s="2"/>
      <x:c r="L18" s="2"/>
      <x:c r="M18" s="15" t="str">
        <x:v>등록형태</x:v>
      </x:c>
      <x:c r="N18" s="15" t="str">
        <x:v>방법론</x:v>
      </x:c>
      <x:c r="O18" s="2"/>
      <x:c r="P18" s="2"/>
      <x:c r="Q18" s="2"/>
      <x:c r="R18" s="2"/>
      <x:c r="S18" s="2"/>
    </x:row>
    <x:row r="19" ht="25" customHeight="1">
      <x:c r="A19" s="2" t="str">
        <x:v>경과일 중앙값</x:v>
      </x:c>
      <x:c r="B19" s="2" t="n">
        <x:f>IF(B7=0,"계산 불가",MEDIAN('방법론'!N7:N39))</x:f>
        <x:v>2057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 t="str">
        <x:v>신청등록</x:v>
      </x:c>
      <x:c r="N19" s="2" t="n">
        <x:f>COUNTIFS('방법론'!L7:L39,1,'방법론'!D7:D39,M19)</x:f>
        <x:v>19</x:v>
      </x:c>
      <x:c r="O19" s="2"/>
      <x:c r="P19" s="2"/>
      <x:c r="Q19" s="2"/>
      <x:c r="R19" s="2"/>
      <x:c r="S19" s="2"/>
    </x:row>
    <x:row r="20" ht="25" customHeight="1">
      <x:c r="A20" s="2" t="str">
        <x:v>상위 3개 분야 비중</x:v>
      </x:c>
      <x:c r="B20" s="20" t="n">
        <x:f>IF(B7=0,"계산 불가",(LARGE(J7:J13,1)+LARGE(J7:J13,2)+LARGE(J7:J13,3))/B7)</x:f>
        <x:v>0.7878787878787878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 t="str">
        <x:v>직권등록</x:v>
      </x:c>
      <x:c r="N20" s="2" t="n">
        <x:f>COUNTIFS('방법론'!L7:L39,1,'방법론'!D7:D39,M20)</x:f>
        <x:v>14</x:v>
      </x:c>
      <x:c r="O20" s="2"/>
      <x:c r="P20" s="2"/>
      <x:c r="Q20" s="2"/>
      <x:c r="R20" s="2"/>
      <x:c r="S20" s="2"/>
    </x:row>
    <x:row r="21" ht="25" customHeight="1">
      <x:c r="A21" s="2" t="str">
        <x:v>최다 버전 연도</x:v>
      </x:c>
      <x:c r="B21" s="2" t="n">
        <x:f>IF(MAX(H7:H18)=0,"",INDEX(D7:D18,MATCH(MAX(H7:H18),H7:H18,0)))</x:f>
        <x:v>2015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5" customHeight="1">
      <x:c r="A22" s="2" t="str">
        <x:v>선택연도 버전</x:v>
      </x:c>
      <x:c r="B22" s="2" t="n">
        <x:f>IFERROR(INDEX(H7:H18,MATCH(TEXT('분석조건'!B6,"0"),D7:D18,0)),0)</x:f>
        <x:v>2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5" customHeight="1">
      <x:c r="A24" s="10" t="str">
        <x:v>읽는 방법</x:v>
      </x:c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2"/>
      <x:c r="P24" s="2"/>
      <x:c r="Q24" s="2"/>
      <x:c r="R24" s="2"/>
      <x:c r="S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5" customHeight="1">
      <x:c r="A26" s="6" t="str">
        <x:v>최초 버전 유효시작일 누적은 최초등록일 누적과 다릅니다. 개정은 방법론 신규 건수에 더하지 않습니다.</x:v>
      </x:c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2"/>
      <x:c r="P26" s="2"/>
      <x:c r="Q26" s="2"/>
      <x:c r="R26" s="2"/>
      <x:c r="S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5" customHeight="1">
      <x:c r="A28" s="6" t="str">
        <x:v>전년 같은 기간 비교에서 전년 0건이면 증감률은 계산 불가입니다. 2026년은 기준일까지 비교합니다.</x:v>
      </x:c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2"/>
      <x:c r="P28" s="2"/>
      <x:c r="Q28" s="2"/>
      <x:c r="R28" s="2"/>
      <x:c r="S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5" customHeight="1">
      <x:c r="A30" s="6" t="str">
        <x:v>진행 중 신청·보완기한·승인율·심사일수는 공개자료 미확보입니다. B21·B22는 대시보드 핵심 문장용 보조 계산입니다.</x:v>
      </x:c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2"/>
      <x:c r="P30" s="2"/>
      <x:c r="Q30" s="2"/>
      <x:c r="R30" s="2"/>
      <x:c r="S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</x:sheetData>
  <x:mergeCells>
    <x:mergeCell ref="A2:K2"/>
    <x:mergeCell ref="A3:K3"/>
    <x:mergeCell ref="A24:N24"/>
    <x:mergeCell ref="A26:N26"/>
    <x:mergeCell ref="A28:N28"/>
    <x:mergeCell ref="A30:N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6BE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70" hidden="0" customWidth="1"/>
    <x:col min="3" max="3" width="40" hidden="0" customWidth="1"/>
    <x:col min="4" max="4" width="18" hidden="0" customWidth="1"/>
    <x:col min="5" max="5" width="6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2" ht="25" customHeight="1">
      <x:c r="A2" s="5" t="str">
        <x:v>공개 방법론 원장</x:v>
      </x:c>
      <x:c r="B2" s="5"/>
      <x:c r="C2" s="5"/>
      <x:c r="D2" s="5"/>
      <x:c r="E2" s="5"/>
      <x:c r="F2" s="5"/>
      <x:c r="G2" s="2"/>
      <x:c r="H2" s="2"/>
      <x:c r="I2" s="2"/>
      <x:c r="J2" s="2"/>
      <x:c r="K2" s="2"/>
      <x:c r="L2" s="2"/>
      <x:c r="M2" s="2"/>
    </x:row>
    <x:row r="3" ht="25" customHeight="1">
      <x:c r="A3" s="6" t="str">
        <x:v>고유 코드 단위. 회색 계산열의 포함=1이 현재 분석 대상입니다.</x:v>
      </x:c>
      <x:c r="B3" s="6"/>
      <x:c r="C3" s="6"/>
      <x:c r="D3" s="6"/>
      <x:c r="E3" s="6"/>
      <x:c r="F3" s="6"/>
      <x:c r="G3" s="2"/>
      <x:c r="H3" s="2"/>
      <x:c r="I3" s="2"/>
      <x:c r="J3" s="2"/>
      <x:c r="K3" s="2"/>
      <x:c r="L3" s="2"/>
      <x:c r="M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4" customHeight="1">
      <x:c r="A6" s="15" t="str">
        <x:v>코드</x:v>
      </x:c>
      <x:c r="B6" s="15" t="str">
        <x:v>방법론명</x:v>
      </x:c>
      <x:c r="C6" s="15" t="str">
        <x:v>분야 원문</x:v>
      </x:c>
      <x:c r="D6" s="15" t="str">
        <x:v>등록형태</x:v>
      </x:c>
      <x:c r="E6" s="15" t="str">
        <x:v>공개 출처</x:v>
      </x:c>
      <x:c r="F6" s="15" t="str">
        <x:v>최신 유효시작일</x:v>
      </x:c>
      <x:c r="G6" s="15" t="str">
        <x:v>최신 버전</x:v>
      </x:c>
      <x:c r="H6" s="15" t="str">
        <x:v>최초 버전 유효시작일</x:v>
      </x:c>
      <x:c r="I6" s="15" t="str">
        <x:v>개정 이력 수</x:v>
      </x:c>
      <x:c r="J6" s="15" t="str">
        <x:v>확인 버전 수</x:v>
      </x:c>
      <x:c r="K6" s="15" t="str">
        <x:v>최신 버전 경과일</x:v>
      </x:c>
      <x:c r="L6" s="15" t="str">
        <x:v>포함</x:v>
      </x:c>
      <x:c r="M6" s="15" t="str">
        <x:v>장기 관찰</x:v>
      </x:c>
      <x:c r="N6" s="25" t="str">
        <x:v>분석 대상 경과일</x:v>
      </x:c>
    </x:row>
    <x:row r="7" ht="78" customHeight="1">
      <x:c r="A7" s="2" t="str">
        <x:v>01A-001</x:v>
      </x:c>
      <x:c r="B7" s="16" t="str">
        <x:v>목재펠릿을 활용한 연료전환 사업의 방법론</x:v>
      </x:c>
      <x:c r="C7" s="16" t="str">
        <x:v>에너지산업</x:v>
      </x:c>
      <x:c r="D7" s="2" t="str">
        <x:v>직권등록</x:v>
      </x:c>
      <x:c r="E7" s="16" t="str">
        <x:v>https://ors.gir.go.kr/home/orme010/historyRead.do?methdSeq=15&amp;menuId=12</x:v>
      </x:c>
      <x:c r="F7" s="17" t="n">
        <x:f>IF(J7=0,"",_xlfn.MAXIFS('버전'!$E$7:$E$46,'버전'!$B$7:$B$46,A7,'버전'!$E$7:$E$46,"&lt;="&amp;'분석조건'!$B$5))</x:f>
        <x:v>42115</x:v>
      </x:c>
      <x:c r="G7" s="18" t="n">
        <x:f>IF(J7=0,"",_xlfn.MAXIFS('버전'!$H$7:$H$46,'버전'!$B$7:$B$46,A7,'버전'!$E$7:$E$46,F7))</x:f>
        <x:v>1</x:v>
      </x:c>
      <x:c r="H7" s="17" t="n">
        <x:f>IF(COUNTIFS('버전'!$B$7:$B$46,A7,'버전'!$D$7:$D$46,"new",'버전'!$E$7:$E$46,"&lt;="&amp;'분석조건'!$B$5)=0,"",_xlfn.MINIFS('버전'!$E$7:$E$46,'버전'!$B$7:$B$46,A7,'버전'!$D$7:$D$46,"new",'버전'!$E$7:$E$46,"&lt;="&amp;'분석조건'!$B$5))</x:f>
        <x:v>42115</x:v>
      </x:c>
      <x:c r="I7" s="11" t="n">
        <x:f>COUNTIFS('버전'!$B$7:$B$46,A7,'버전'!$D$7:$D$46,"revision",'버전'!$E$7:$E$46,"&lt;="&amp;'분석조건'!$B$5)</x:f>
        <x:v>0</x:v>
      </x:c>
      <x:c r="J7" s="11" t="n">
        <x:f>COUNTIFS('버전'!$B$7:$B$46,A7,'버전'!$E$7:$E$46,"&lt;="&amp;'분석조건'!$B$5)</x:f>
        <x:v>1</x:v>
      </x:c>
      <x:c r="K7" s="11" t="n">
        <x:f>IF(J7=0,"",'분석조건'!$B$5-F7)</x:f>
        <x:v>4194</x:v>
      </x:c>
      <x:c r="L7" s="11" t="n">
        <x:f>IF(AND(J7&gt;0,OR('분석조건'!$B$7="all",C7='분석조건'!$B$7),OR('분석조건'!$B$8="all",D7='분석조건'!$B$8),OR('분석조건'!$B$9="all",AND('분석조건'!$B$9="revised",I7&gt;0),AND('분석조건'!$B$9="unrevised",I7=0)),ISNUMBER(SEARCH(SUBSTITUTE(SUBSTITUTE(SUBSTITUTE('분석조건'!$B$12,"~","~~"),"*","~*"),"?","~?"),A7&amp;" "&amp;B7&amp;" "&amp;C7))),1,0)</x:f>
        <x:v>1</x:v>
      </x:c>
      <x:c r="M7" s="11" t="n">
        <x:f>IF(AND(L7=1,K7&gt;'분석조건'!$B$10),1,0)</x:f>
        <x:v>1</x:v>
      </x:c>
      <x:c r="N7" s="26" t="n">
        <x:f>IF(L7=1,K7,"")</x:f>
        <x:v>4194</x:v>
      </x:c>
    </x:row>
    <x:row r="8" ht="78" customHeight="1">
      <x:c r="A8" s="2" t="str">
        <x:v>01A-006</x:v>
      </x:c>
      <x:c r="B8" s="16" t="str">
        <x:v>가축분뇨 고체연료를 활용한 열/전력 생산 및 이용 사업의 방법론</x:v>
      </x:c>
      <x:c r="C8" s="16" t="str">
        <x:v>에너지산업</x:v>
      </x:c>
      <x:c r="D8" s="2" t="str">
        <x:v>신청등록</x:v>
      </x:c>
      <x:c r="E8" s="16" t="str">
        <x:v>https://ors.gir.go.kr/home/orme010/historyRead.do?methdSeq=469&amp;menuId=12</x:v>
      </x:c>
      <x:c r="F8" s="17" t="n">
        <x:f>IF(J8=0,"",_xlfn.MAXIFS('버전'!$E$7:$E$46,'버전'!$B$7:$B$46,A8,'버전'!$E$7:$E$46,"&lt;="&amp;'분석조건'!$B$5))</x:f>
        <x:v>45902</x:v>
      </x:c>
      <x:c r="G8" s="18" t="n">
        <x:f>IF(J8=0,"",_xlfn.MAXIFS('버전'!$H$7:$H$46,'버전'!$B$7:$B$46,A8,'버전'!$E$7:$E$46,F8))</x:f>
        <x:v>1</x:v>
      </x:c>
      <x:c r="H8" s="17" t="n">
        <x:f>IF(COUNTIFS('버전'!$B$7:$B$46,A8,'버전'!$D$7:$D$46,"new",'버전'!$E$7:$E$46,"&lt;="&amp;'분석조건'!$B$5)=0,"",_xlfn.MINIFS('버전'!$E$7:$E$46,'버전'!$B$7:$B$46,A8,'버전'!$D$7:$D$46,"new",'버전'!$E$7:$E$46,"&lt;="&amp;'분석조건'!$B$5))</x:f>
        <x:v>45902</x:v>
      </x:c>
      <x:c r="I8" s="11" t="n">
        <x:f>COUNTIFS('버전'!$B$7:$B$46,A8,'버전'!$D$7:$D$46,"revision",'버전'!$E$7:$E$46,"&lt;="&amp;'분석조건'!$B$5)</x:f>
        <x:v>0</x:v>
      </x:c>
      <x:c r="J8" s="11" t="n">
        <x:f>COUNTIFS('버전'!$B$7:$B$46,A8,'버전'!$E$7:$E$46,"&lt;="&amp;'분석조건'!$B$5)</x:f>
        <x:v>1</x:v>
      </x:c>
      <x:c r="K8" s="11" t="n">
        <x:f>IF(J8=0,"",'분석조건'!$B$5-F8)</x:f>
        <x:v>407</x:v>
      </x:c>
      <x:c r="L8" s="11" t="n">
        <x:f>IF(AND(J8&gt;0,OR('분석조건'!$B$7="all",C8='분석조건'!$B$7),OR('분석조건'!$B$8="all",D8='분석조건'!$B$8),OR('분석조건'!$B$9="all",AND('분석조건'!$B$9="revised",I8&gt;0),AND('분석조건'!$B$9="unrevised",I8=0)),ISNUMBER(SEARCH(SUBSTITUTE(SUBSTITUTE(SUBSTITUTE('분석조건'!$B$12,"~","~~"),"*","~*"),"?","~?"),A8&amp;" "&amp;B8&amp;" "&amp;C8))),1,0)</x:f>
        <x:v>1</x:v>
      </x:c>
      <x:c r="M8" s="11" t="n">
        <x:f>IF(AND(L8=1,K8&gt;'분석조건'!$B$10),1,0)</x:f>
        <x:v>0</x:v>
      </x:c>
      <x:c r="N8" s="26" t="n">
        <x:f>IF(L8=1,K8,"")</x:f>
        <x:v>407</x:v>
      </x:c>
    </x:row>
    <x:row r="9" ht="78" customHeight="1">
      <x:c r="A9" s="2" t="str">
        <x:v>01B-001</x:v>
      </x:c>
      <x:c r="B9" s="16" t="str">
        <x:v>재생에너지를 이용한 전력 생산 및 계통 연계 사업의 방법론</x:v>
      </x:c>
      <x:c r="C9" s="16" t="str">
        <x:v>에너지산업</x:v>
      </x:c>
      <x:c r="D9" s="2" t="str">
        <x:v>직권등록</x:v>
      </x:c>
      <x:c r="E9" s="16" t="str">
        <x:v>https://ors.gir.go.kr/home/orme010/historyRead.do?methdSeq=18&amp;menuId=12</x:v>
      </x:c>
      <x:c r="F9" s="17" t="n">
        <x:f>IF(J9=0,"",_xlfn.MAXIFS('버전'!$E$7:$E$46,'버전'!$B$7:$B$46,A9,'버전'!$E$7:$E$46,"&lt;="&amp;'분석조건'!$B$5))</x:f>
        <x:v>42115</x:v>
      </x:c>
      <x:c r="G9" s="18" t="n">
        <x:f>IF(J9=0,"",_xlfn.MAXIFS('버전'!$H$7:$H$46,'버전'!$B$7:$B$46,A9,'버전'!$E$7:$E$46,F9))</x:f>
        <x:v>1</x:v>
      </x:c>
      <x:c r="H9" s="17" t="n">
        <x:f>IF(COUNTIFS('버전'!$B$7:$B$46,A9,'버전'!$D$7:$D$46,"new",'버전'!$E$7:$E$46,"&lt;="&amp;'분석조건'!$B$5)=0,"",_xlfn.MINIFS('버전'!$E$7:$E$46,'버전'!$B$7:$B$46,A9,'버전'!$D$7:$D$46,"new",'버전'!$E$7:$E$46,"&lt;="&amp;'분석조건'!$B$5))</x:f>
        <x:v>42115</x:v>
      </x:c>
      <x:c r="I9" s="11" t="n">
        <x:f>COUNTIFS('버전'!$B$7:$B$46,A9,'버전'!$D$7:$D$46,"revision",'버전'!$E$7:$E$46,"&lt;="&amp;'분석조건'!$B$5)</x:f>
        <x:v>0</x:v>
      </x:c>
      <x:c r="J9" s="11" t="n">
        <x:f>COUNTIFS('버전'!$B$7:$B$46,A9,'버전'!$E$7:$E$46,"&lt;="&amp;'분석조건'!$B$5)</x:f>
        <x:v>1</x:v>
      </x:c>
      <x:c r="K9" s="11" t="n">
        <x:f>IF(J9=0,"",'분석조건'!$B$5-F9)</x:f>
        <x:v>4194</x:v>
      </x:c>
      <x:c r="L9" s="11" t="n">
        <x:f>IF(AND(J9&gt;0,OR('분석조건'!$B$7="all",C9='분석조건'!$B$7),OR('분석조건'!$B$8="all",D9='분석조건'!$B$8),OR('분석조건'!$B$9="all",AND('분석조건'!$B$9="revised",I9&gt;0),AND('분석조건'!$B$9="unrevised",I9=0)),ISNUMBER(SEARCH(SUBSTITUTE(SUBSTITUTE(SUBSTITUTE('분석조건'!$B$12,"~","~~"),"*","~*"),"?","~?"),A9&amp;" "&amp;B9&amp;" "&amp;C9))),1,0)</x:f>
        <x:v>1</x:v>
      </x:c>
      <x:c r="M9" s="11" t="n">
        <x:f>IF(AND(L9=1,K9&gt;'분석조건'!$B$10),1,0)</x:f>
        <x:v>1</x:v>
      </x:c>
      <x:c r="N9" s="26" t="n">
        <x:f>IF(L9=1,K9,"")</x:f>
        <x:v>4194</x:v>
      </x:c>
    </x:row>
    <x:row r="10" ht="78" customHeight="1">
      <x:c r="A10" s="2" t="str">
        <x:v>01B-003</x:v>
      </x:c>
      <x:c r="B10" s="16" t="str">
        <x:v>태양열에너지를 이용한 열에너지 생산 및 이용 사업의 방법론</x:v>
      </x:c>
      <x:c r="C10" s="16" t="str">
        <x:v>에너지산업</x:v>
      </x:c>
      <x:c r="D10" s="2" t="str">
        <x:v>직권등록</x:v>
      </x:c>
      <x:c r="E10" s="16" t="str">
        <x:v>https://ors.gir.go.kr/home/orme010/historyRead.do?methdSeq=20&amp;menuId=12</x:v>
      </x:c>
      <x:c r="F10" s="17" t="n">
        <x:f>IF(J10=0,"",_xlfn.MAXIFS('버전'!$E$7:$E$46,'버전'!$B$7:$B$46,A10,'버전'!$E$7:$E$46,"&lt;="&amp;'분석조건'!$B$5))</x:f>
        <x:v>42115</x:v>
      </x:c>
      <x:c r="G10" s="18" t="n">
        <x:f>IF(J10=0,"",_xlfn.MAXIFS('버전'!$H$7:$H$46,'버전'!$B$7:$B$46,A10,'버전'!$E$7:$E$46,F10))</x:f>
        <x:v>1</x:v>
      </x:c>
      <x:c r="H10" s="17" t="n">
        <x:f>IF(COUNTIFS('버전'!$B$7:$B$46,A10,'버전'!$D$7:$D$46,"new",'버전'!$E$7:$E$46,"&lt;="&amp;'분석조건'!$B$5)=0,"",_xlfn.MINIFS('버전'!$E$7:$E$46,'버전'!$B$7:$B$46,A10,'버전'!$D$7:$D$46,"new",'버전'!$E$7:$E$46,"&lt;="&amp;'분석조건'!$B$5))</x:f>
        <x:v>42115</x:v>
      </x:c>
      <x:c r="I10" s="11" t="n">
        <x:f>COUNTIFS('버전'!$B$7:$B$46,A10,'버전'!$D$7:$D$46,"revision",'버전'!$E$7:$E$46,"&lt;="&amp;'분석조건'!$B$5)</x:f>
        <x:v>0</x:v>
      </x:c>
      <x:c r="J10" s="11" t="n">
        <x:f>COUNTIFS('버전'!$B$7:$B$46,A10,'버전'!$E$7:$E$46,"&lt;="&amp;'분석조건'!$B$5)</x:f>
        <x:v>1</x:v>
      </x:c>
      <x:c r="K10" s="11" t="n">
        <x:f>IF(J10=0,"",'분석조건'!$B$5-F10)</x:f>
        <x:v>4194</x:v>
      </x:c>
      <x:c r="L10" s="11" t="n">
        <x:f>IF(AND(J10&gt;0,OR('분석조건'!$B$7="all",C10='분석조건'!$B$7),OR('분석조건'!$B$8="all",D10='분석조건'!$B$8),OR('분석조건'!$B$9="all",AND('분석조건'!$B$9="revised",I10&gt;0),AND('분석조건'!$B$9="unrevised",I10=0)),ISNUMBER(SEARCH(SUBSTITUTE(SUBSTITUTE(SUBSTITUTE('분석조건'!$B$12,"~","~~"),"*","~*"),"?","~?"),A10&amp;" "&amp;B10&amp;" "&amp;C10))),1,0)</x:f>
        <x:v>1</x:v>
      </x:c>
      <x:c r="M10" s="11" t="n">
        <x:f>IF(AND(L10=1,K10&gt;'분석조건'!$B$10),1,0)</x:f>
        <x:v>1</x:v>
      </x:c>
      <x:c r="N10" s="26" t="n">
        <x:f>IF(L10=1,K10,"")</x:f>
        <x:v>4194</x:v>
      </x:c>
    </x:row>
    <x:row r="11" ht="78" customHeight="1">
      <x:c r="A11" s="2" t="str">
        <x:v>01B-004</x:v>
      </x:c>
      <x:c r="B11" s="16" t="str">
        <x:v>재생에너지를 이용한 전력 생산 및 자가 사용 사업의 방법론</x:v>
      </x:c>
      <x:c r="C11" s="16" t="str">
        <x:v>에너지산업</x:v>
      </x:c>
      <x:c r="D11" s="2" t="str">
        <x:v>직권등록</x:v>
      </x:c>
      <x:c r="E11" s="16" t="str">
        <x:v>https://ors.gir.go.kr/home/orme010/historyRead.do?methdSeq=44&amp;menuId=12</x:v>
      </x:c>
      <x:c r="F11" s="17" t="n">
        <x:f>IF(J11=0,"",_xlfn.MAXIFS('버전'!$E$7:$E$46,'버전'!$B$7:$B$46,A11,'버전'!$E$7:$E$46,"&lt;="&amp;'분석조건'!$B$5))</x:f>
        <x:v>42516</x:v>
      </x:c>
      <x:c r="G11" s="18" t="n">
        <x:f>IF(J11=0,"",_xlfn.MAXIFS('버전'!$H$7:$H$46,'버전'!$B$7:$B$46,A11,'버전'!$E$7:$E$46,F11))</x:f>
        <x:v>1</x:v>
      </x:c>
      <x:c r="H11" s="17" t="n">
        <x:f>IF(COUNTIFS('버전'!$B$7:$B$46,A11,'버전'!$D$7:$D$46,"new",'버전'!$E$7:$E$46,"&lt;="&amp;'분석조건'!$B$5)=0,"",_xlfn.MINIFS('버전'!$E$7:$E$46,'버전'!$B$7:$B$46,A11,'버전'!$D$7:$D$46,"new",'버전'!$E$7:$E$46,"&lt;="&amp;'분석조건'!$B$5))</x:f>
        <x:v>42516</x:v>
      </x:c>
      <x:c r="I11" s="11" t="n">
        <x:f>COUNTIFS('버전'!$B$7:$B$46,A11,'버전'!$D$7:$D$46,"revision",'버전'!$E$7:$E$46,"&lt;="&amp;'분석조건'!$B$5)</x:f>
        <x:v>0</x:v>
      </x:c>
      <x:c r="J11" s="11" t="n">
        <x:f>COUNTIFS('버전'!$B$7:$B$46,A11,'버전'!$E$7:$E$46,"&lt;="&amp;'분석조건'!$B$5)</x:f>
        <x:v>1</x:v>
      </x:c>
      <x:c r="K11" s="11" t="n">
        <x:f>IF(J11=0,"",'분석조건'!$B$5-F11)</x:f>
        <x:v>3793</x:v>
      </x:c>
      <x:c r="L11" s="11" t="n">
        <x:f>IF(AND(J11&gt;0,OR('분석조건'!$B$7="all",C11='분석조건'!$B$7),OR('분석조건'!$B$8="all",D11='분석조건'!$B$8),OR('분석조건'!$B$9="all",AND('분석조건'!$B$9="revised",I11&gt;0),AND('분석조건'!$B$9="unrevised",I11=0)),ISNUMBER(SEARCH(SUBSTITUTE(SUBSTITUTE(SUBSTITUTE('분석조건'!$B$12,"~","~~"),"*","~*"),"?","~?"),A11&amp;" "&amp;B11&amp;" "&amp;C11))),1,0)</x:f>
        <x:v>1</x:v>
      </x:c>
      <x:c r="M11" s="11" t="n">
        <x:f>IF(AND(L11=1,K11&gt;'분석조건'!$B$10),1,0)</x:f>
        <x:v>1</x:v>
      </x:c>
      <x:c r="N11" s="26" t="n">
        <x:f>IF(L11=1,K11,"")</x:f>
        <x:v>3793</x:v>
      </x:c>
    </x:row>
    <x:row r="12" ht="78" customHeight="1">
      <x:c r="A12" s="2" t="str">
        <x:v>01B-008</x:v>
      </x:c>
      <x:c r="B12" s="16" t="str">
        <x:v>전력 자가사용 및 독립된 소규모 계통 연계를 위한 재생에너지 발전사업의 방법론</x:v>
      </x:c>
      <x:c r="C12" s="16" t="str">
        <x:v>에너지산업</x:v>
      </x:c>
      <x:c r="D12" s="2" t="str">
        <x:v>직권등록</x:v>
      </x:c>
      <x:c r="E12" s="16" t="str">
        <x:v>https://ors.gir.go.kr/home/orme010/historyRead.do?methdSeq=353&amp;menuId=12</x:v>
      </x:c>
      <x:c r="F12" s="17" t="n">
        <x:f>IF(J12=0,"",_xlfn.MAXIFS('버전'!$E$7:$E$46,'버전'!$B$7:$B$46,A12,'버전'!$E$7:$E$46,"&lt;="&amp;'분석조건'!$B$5))</x:f>
        <x:v>43987</x:v>
      </x:c>
      <x:c r="G12" s="18" t="n">
        <x:f>IF(J12=0,"",_xlfn.MAXIFS('버전'!$H$7:$H$46,'버전'!$B$7:$B$46,A12,'버전'!$E$7:$E$46,F12))</x:f>
        <x:v>1</x:v>
      </x:c>
      <x:c r="H12" s="17" t="n">
        <x:f>IF(COUNTIFS('버전'!$B$7:$B$46,A12,'버전'!$D$7:$D$46,"new",'버전'!$E$7:$E$46,"&lt;="&amp;'분석조건'!$B$5)=0,"",_xlfn.MINIFS('버전'!$E$7:$E$46,'버전'!$B$7:$B$46,A12,'버전'!$D$7:$D$46,"new",'버전'!$E$7:$E$46,"&lt;="&amp;'분석조건'!$B$5))</x:f>
        <x:v>43987</x:v>
      </x:c>
      <x:c r="I12" s="11" t="n">
        <x:f>COUNTIFS('버전'!$B$7:$B$46,A12,'버전'!$D$7:$D$46,"revision",'버전'!$E$7:$E$46,"&lt;="&amp;'분석조건'!$B$5)</x:f>
        <x:v>0</x:v>
      </x:c>
      <x:c r="J12" s="11" t="n">
        <x:f>COUNTIFS('버전'!$B$7:$B$46,A12,'버전'!$E$7:$E$46,"&lt;="&amp;'분석조건'!$B$5)</x:f>
        <x:v>1</x:v>
      </x:c>
      <x:c r="K12" s="11" t="n">
        <x:f>IF(J12=0,"",'분석조건'!$B$5-F12)</x:f>
        <x:v>2322</x:v>
      </x:c>
      <x:c r="L12" s="11" t="n">
        <x:f>IF(AND(J12&gt;0,OR('분석조건'!$B$7="all",C12='분석조건'!$B$7),OR('분석조건'!$B$8="all",D12='분석조건'!$B$8),OR('분석조건'!$B$9="all",AND('분석조건'!$B$9="revised",I12&gt;0),AND('분석조건'!$B$9="unrevised",I12=0)),ISNUMBER(SEARCH(SUBSTITUTE(SUBSTITUTE(SUBSTITUTE('분석조건'!$B$12,"~","~~"),"*","~*"),"?","~?"),A12&amp;" "&amp;B12&amp;" "&amp;C12))),1,0)</x:f>
        <x:v>1</x:v>
      </x:c>
      <x:c r="M12" s="11" t="n">
        <x:f>IF(AND(L12=1,K12&gt;'분석조건'!$B$10),1,0)</x:f>
        <x:v>1</x:v>
      </x:c>
      <x:c r="N12" s="26" t="n">
        <x:f>IF(L12=1,K12,"")</x:f>
        <x:v>2322</x:v>
      </x:c>
    </x:row>
    <x:row r="13" ht="78" customHeight="1">
      <x:c r="A13" s="2" t="str">
        <x:v>01B-009</x:v>
      </x:c>
      <x:c r="B13" s="16" t="str">
        <x:v>수소 연료전지를 이용한 전기 및 열생산 사업의 방법론</x:v>
      </x:c>
      <x:c r="C13" s="16" t="str">
        <x:v>에너지산업</x:v>
      </x:c>
      <x:c r="D13" s="2" t="str">
        <x:v>직권등록</x:v>
      </x:c>
      <x:c r="E13" s="16" t="str">
        <x:v>https://ors.gir.go.kr/home/orme010/historyRead.do?methdSeq=532&amp;menuId=12</x:v>
      </x:c>
      <x:c r="F13" s="17" t="n">
        <x:f>IF(J13=0,"",_xlfn.MAXIFS('버전'!$E$7:$E$46,'버전'!$B$7:$B$46,A13,'버전'!$E$7:$E$46,"&lt;="&amp;'분석조건'!$B$5))</x:f>
        <x:v>45993</x:v>
      </x:c>
      <x:c r="G13" s="18" t="n">
        <x:f>IF(J13=0,"",_xlfn.MAXIFS('버전'!$H$7:$H$46,'버전'!$B$7:$B$46,A13,'버전'!$E$7:$E$46,F13))</x:f>
        <x:v>2</x:v>
      </x:c>
      <x:c r="H13" s="17" t="n">
        <x:f>IF(COUNTIFS('버전'!$B$7:$B$46,A13,'버전'!$D$7:$D$46,"new",'버전'!$E$7:$E$46,"&lt;="&amp;'분석조건'!$B$5)=0,"",_xlfn.MINIFS('버전'!$E$7:$E$46,'버전'!$B$7:$B$46,A13,'버전'!$D$7:$D$46,"new",'버전'!$E$7:$E$46,"&lt;="&amp;'분석조건'!$B$5))</x:f>
        <x:v>44834</x:v>
      </x:c>
      <x:c r="I13" s="11" t="n">
        <x:f>COUNTIFS('버전'!$B$7:$B$46,A13,'버전'!$D$7:$D$46,"revision",'버전'!$E$7:$E$46,"&lt;="&amp;'분석조건'!$B$5)</x:f>
        <x:v>1</x:v>
      </x:c>
      <x:c r="J13" s="11" t="n">
        <x:f>COUNTIFS('버전'!$B$7:$B$46,A13,'버전'!$E$7:$E$46,"&lt;="&amp;'분석조건'!$B$5)</x:f>
        <x:v>2</x:v>
      </x:c>
      <x:c r="K13" s="11" t="n">
        <x:f>IF(J13=0,"",'분석조건'!$B$5-F13)</x:f>
        <x:v>316</x:v>
      </x:c>
      <x:c r="L13" s="11" t="n">
        <x:f>IF(AND(J13&gt;0,OR('분석조건'!$B$7="all",C13='분석조건'!$B$7),OR('분석조건'!$B$8="all",D13='분석조건'!$B$8),OR('분석조건'!$B$9="all",AND('분석조건'!$B$9="revised",I13&gt;0),AND('분석조건'!$B$9="unrevised",I13=0)),ISNUMBER(SEARCH(SUBSTITUTE(SUBSTITUTE(SUBSTITUTE('분석조건'!$B$12,"~","~~"),"*","~*"),"?","~?"),A13&amp;" "&amp;B13&amp;" "&amp;C13))),1,0)</x:f>
        <x:v>1</x:v>
      </x:c>
      <x:c r="M13" s="11" t="n">
        <x:f>IF(AND(L13=1,K13&gt;'분석조건'!$B$10),1,0)</x:f>
        <x:v>0</x:v>
      </x:c>
      <x:c r="N13" s="26" t="n">
        <x:f>IF(L13=1,K13,"")</x:f>
        <x:v>316</x:v>
      </x:c>
    </x:row>
    <x:row r="14" ht="78" customHeight="1">
      <x:c r="A14" s="2" t="str">
        <x:v>01B-011</x:v>
      </x:c>
      <x:c r="B14" s="16" t="str">
        <x:v>재생에너지를 통해 생산한 전력을 자가 사용 및/또는 계통 연계하는 사업의 방법론</x:v>
      </x:c>
      <x:c r="C14" s="16" t="str">
        <x:v>에너지산업</x:v>
      </x:c>
      <x:c r="D14" s="2" t="str">
        <x:v>신청등록</x:v>
      </x:c>
      <x:c r="E14" s="16" t="str">
        <x:v>https://ors.gir.go.kr/home/orme010/historyRead.do?methdSeq=537&amp;menuId=12</x:v>
      </x:c>
      <x:c r="F14" s="17" t="n">
        <x:f>IF(J14=0,"",_xlfn.MAXIFS('버전'!$E$7:$E$46,'버전'!$B$7:$B$46,A14,'버전'!$E$7:$E$46,"&lt;="&amp;'분석조건'!$B$5))</x:f>
        <x:v>46267</x:v>
      </x:c>
      <x:c r="G14" s="18" t="n">
        <x:f>IF(J14=0,"",_xlfn.MAXIFS('버전'!$H$7:$H$46,'버전'!$B$7:$B$46,A14,'버전'!$E$7:$E$46,F14))</x:f>
        <x:v>2</x:v>
      </x:c>
      <x:c r="H14" s="17" t="n">
        <x:f>IF(COUNTIFS('버전'!$B$7:$B$46,A14,'버전'!$D$7:$D$46,"new",'버전'!$E$7:$E$46,"&lt;="&amp;'분석조건'!$B$5)=0,"",_xlfn.MINIFS('버전'!$E$7:$E$46,'버전'!$B$7:$B$46,A14,'버전'!$D$7:$D$46,"new",'버전'!$E$7:$E$46,"&lt;="&amp;'분석조건'!$B$5))</x:f>
        <x:v>45538</x:v>
      </x:c>
      <x:c r="I14" s="11" t="n">
        <x:f>COUNTIFS('버전'!$B$7:$B$46,A14,'버전'!$D$7:$D$46,"revision",'버전'!$E$7:$E$46,"&lt;="&amp;'분석조건'!$B$5)</x:f>
        <x:v>1</x:v>
      </x:c>
      <x:c r="J14" s="11" t="n">
        <x:f>COUNTIFS('버전'!$B$7:$B$46,A14,'버전'!$E$7:$E$46,"&lt;="&amp;'분석조건'!$B$5)</x:f>
        <x:v>2</x:v>
      </x:c>
      <x:c r="K14" s="11" t="n">
        <x:f>IF(J14=0,"",'분석조건'!$B$5-F14)</x:f>
        <x:v>42</x:v>
      </x:c>
      <x:c r="L14" s="11" t="n">
        <x:f>IF(AND(J14&gt;0,OR('분석조건'!$B$7="all",C14='분석조건'!$B$7),OR('분석조건'!$B$8="all",D14='분석조건'!$B$8),OR('분석조건'!$B$9="all",AND('분석조건'!$B$9="revised",I14&gt;0),AND('분석조건'!$B$9="unrevised",I14=0)),ISNUMBER(SEARCH(SUBSTITUTE(SUBSTITUTE(SUBSTITUTE('분석조건'!$B$12,"~","~~"),"*","~*"),"?","~?"),A14&amp;" "&amp;B14&amp;" "&amp;C14))),1,0)</x:f>
        <x:v>1</x:v>
      </x:c>
      <x:c r="M14" s="11" t="n">
        <x:f>IF(AND(L14=1,K14&gt;'분석조건'!$B$10),1,0)</x:f>
        <x:v>0</x:v>
      </x:c>
      <x:c r="N14" s="26" t="n">
        <x:f>IF(L14=1,K14,"")</x:f>
        <x:v>42</x:v>
      </x:c>
    </x:row>
    <x:row r="15" ht="78" customHeight="1">
      <x:c r="A15" s="2" t="str">
        <x:v>02A-001</x:v>
      </x:c>
      <x:c r="B15" s="16" t="str">
        <x:v>자가발전을 통한 사업장 전력 대체 온실가스 감축 방법론</x:v>
      </x:c>
      <x:c r="C15" s="16" t="str">
        <x:v>에너지 공급</x:v>
      </x:c>
      <x:c r="D15" s="2" t="str">
        <x:v>신청등록</x:v>
      </x:c>
      <x:c r="E15" s="16" t="str">
        <x:v>https://ors.gir.go.kr/home/orme010/historyRead.do?methdSeq=406&amp;menuId=12</x:v>
      </x:c>
      <x:c r="F15" s="17" t="n">
        <x:f>IF(J15=0,"",_xlfn.MAXIFS('버전'!$E$7:$E$46,'버전'!$B$7:$B$46,A15,'버전'!$E$7:$E$46,"&lt;="&amp;'분석조건'!$B$5))</x:f>
        <x:v>45538</x:v>
      </x:c>
      <x:c r="G15" s="18" t="n">
        <x:f>IF(J15=0,"",_xlfn.MAXIFS('버전'!$H$7:$H$46,'버전'!$B$7:$B$46,A15,'버전'!$E$7:$E$46,F15))</x:f>
        <x:v>1</x:v>
      </x:c>
      <x:c r="H15" s="17" t="n">
        <x:f>IF(COUNTIFS('버전'!$B$7:$B$46,A15,'버전'!$D$7:$D$46,"new",'버전'!$E$7:$E$46,"&lt;="&amp;'분석조건'!$B$5)=0,"",_xlfn.MINIFS('버전'!$E$7:$E$46,'버전'!$B$7:$B$46,A15,'버전'!$D$7:$D$46,"new",'버전'!$E$7:$E$46,"&lt;="&amp;'분석조건'!$B$5))</x:f>
        <x:v>45538</x:v>
      </x:c>
      <x:c r="I15" s="11" t="n">
        <x:f>COUNTIFS('버전'!$B$7:$B$46,A15,'버전'!$D$7:$D$46,"revision",'버전'!$E$7:$E$46,"&lt;="&amp;'분석조건'!$B$5)</x:f>
        <x:v>0</x:v>
      </x:c>
      <x:c r="J15" s="11" t="n">
        <x:f>COUNTIFS('버전'!$B$7:$B$46,A15,'버전'!$E$7:$E$46,"&lt;="&amp;'분석조건'!$B$5)</x:f>
        <x:v>1</x:v>
      </x:c>
      <x:c r="K15" s="11" t="n">
        <x:f>IF(J15=0,"",'분석조건'!$B$5-F15)</x:f>
        <x:v>771</x:v>
      </x:c>
      <x:c r="L15" s="11" t="n">
        <x:f>IF(AND(J15&gt;0,OR('분석조건'!$B$7="all",C15='분석조건'!$B$7),OR('분석조건'!$B$8="all",D15='분석조건'!$B$8),OR('분석조건'!$B$9="all",AND('분석조건'!$B$9="revised",I15&gt;0),AND('분석조건'!$B$9="unrevised",I15=0)),ISNUMBER(SEARCH(SUBSTITUTE(SUBSTITUTE(SUBSTITUTE('분석조건'!$B$12,"~","~~"),"*","~*"),"?","~?"),A15&amp;" "&amp;B15&amp;" "&amp;C15))),1,0)</x:f>
        <x:v>1</x:v>
      </x:c>
      <x:c r="M15" s="11" t="n">
        <x:f>IF(AND(L15=1,K15&gt;'분석조건'!$B$10),1,0)</x:f>
        <x:v>0</x:v>
      </x:c>
      <x:c r="N15" s="26" t="n">
        <x:f>IF(L15=1,K15,"")</x:f>
        <x:v>771</x:v>
      </x:c>
    </x:row>
    <x:row r="16" ht="78" customHeight="1">
      <x:c r="A16" s="2" t="str">
        <x:v>02B-001</x:v>
      </x:c>
      <x:c r="B16" s="16" t="str">
        <x:v>열공급시설에서 목질계 바이오매스 연료를 이용하여 생산된 열에너지 공급을 통한 수용가의 화석연료 사용량 절감사업의 방법론</x:v>
      </x:c>
      <x:c r="C16" s="16" t="str">
        <x:v>에너지 공급</x:v>
      </x:c>
      <x:c r="D16" s="2" t="str">
        <x:v>신청등록</x:v>
      </x:c>
      <x:c r="E16" s="16" t="str">
        <x:v>https://ors.gir.go.kr/home/orme010/historyRead.do?methdSeq=332&amp;menuId=12</x:v>
      </x:c>
      <x:c r="F16" s="17" t="n">
        <x:f>IF(J16=0,"",_xlfn.MAXIFS('버전'!$E$7:$E$46,'버전'!$B$7:$B$46,A16,'버전'!$E$7:$E$46,"&lt;="&amp;'분석조건'!$B$5))</x:f>
        <x:v>44252</x:v>
      </x:c>
      <x:c r="G16" s="18" t="n">
        <x:f>IF(J16=0,"",_xlfn.MAXIFS('버전'!$H$7:$H$46,'버전'!$B$7:$B$46,A16,'버전'!$E$7:$E$46,F16))</x:f>
        <x:v>2</x:v>
      </x:c>
      <x:c r="H16" s="17" t="n">
        <x:f>IF(COUNTIFS('버전'!$B$7:$B$46,A16,'버전'!$D$7:$D$46,"new",'버전'!$E$7:$E$46,"&lt;="&amp;'분석조건'!$B$5)=0,"",_xlfn.MINIFS('버전'!$E$7:$E$46,'버전'!$B$7:$B$46,A16,'버전'!$D$7:$D$46,"new",'버전'!$E$7:$E$46,"&lt;="&amp;'분석조건'!$B$5))</x:f>
        <x:v>42810</x:v>
      </x:c>
      <x:c r="I16" s="11" t="n">
        <x:f>COUNTIFS('버전'!$B$7:$B$46,A16,'버전'!$D$7:$D$46,"revision",'버전'!$E$7:$E$46,"&lt;="&amp;'분석조건'!$B$5)</x:f>
        <x:v>1</x:v>
      </x:c>
      <x:c r="J16" s="11" t="n">
        <x:f>COUNTIFS('버전'!$B$7:$B$46,A16,'버전'!$E$7:$E$46,"&lt;="&amp;'분석조건'!$B$5)</x:f>
        <x:v>2</x:v>
      </x:c>
      <x:c r="K16" s="11" t="n">
        <x:f>IF(J16=0,"",'분석조건'!$B$5-F16)</x:f>
        <x:v>2057</x:v>
      </x:c>
      <x:c r="L16" s="11" t="n">
        <x:f>IF(AND(J16&gt;0,OR('분석조건'!$B$7="all",C16='분석조건'!$B$7),OR('분석조건'!$B$8="all",D16='분석조건'!$B$8),OR('분석조건'!$B$9="all",AND('분석조건'!$B$9="revised",I16&gt;0),AND('분석조건'!$B$9="unrevised",I16=0)),ISNUMBER(SEARCH(SUBSTITUTE(SUBSTITUTE(SUBSTITUTE('분석조건'!$B$12,"~","~~"),"*","~*"),"?","~?"),A16&amp;" "&amp;B16&amp;" "&amp;C16))),1,0)</x:f>
        <x:v>1</x:v>
      </x:c>
      <x:c r="M16" s="11" t="n">
        <x:f>IF(AND(L16=1,K16&gt;'분석조건'!$B$10),1,0)</x:f>
        <x:v>1</x:v>
      </x:c>
      <x:c r="N16" s="26" t="n">
        <x:f>IF(L16=1,K16,"")</x:f>
        <x:v>2057</x:v>
      </x:c>
    </x:row>
    <x:row r="17" ht="78" customHeight="1">
      <x:c r="A17" s="2" t="str">
        <x:v>02B-002</x:v>
      </x:c>
      <x:c r="B17" s="16" t="str">
        <x:v>섬유염색공정에서 증기 전용 텐터기 도입과 텐터기 전용 열 공급을 통한 수용가의 화석연료 사용량 절감사업의 방법론</x:v>
      </x:c>
      <x:c r="C17" s="16" t="str">
        <x:v>에너지 공급</x:v>
      </x:c>
      <x:c r="D17" s="2" t="str">
        <x:v>신청등록</x:v>
      </x:c>
      <x:c r="E17" s="16" t="str">
        <x:v>https://ors.gir.go.kr/home/orme010/historyRead.do?methdSeq=438&amp;menuId=12</x:v>
      </x:c>
      <x:c r="F17" s="17" t="n">
        <x:f>IF(J17=0,"",_xlfn.MAXIFS('버전'!$E$7:$E$46,'버전'!$B$7:$B$46,A17,'버전'!$E$7:$E$46,"&lt;="&amp;'분석조건'!$B$5))</x:f>
        <x:v>45902</x:v>
      </x:c>
      <x:c r="G17" s="18" t="n">
        <x:f>IF(J17=0,"",_xlfn.MAXIFS('버전'!$H$7:$H$46,'버전'!$B$7:$B$46,A17,'버전'!$E$7:$E$46,F17))</x:f>
        <x:v>1</x:v>
      </x:c>
      <x:c r="H17" s="17" t="n">
        <x:f>IF(COUNTIFS('버전'!$B$7:$B$46,A17,'버전'!$D$7:$D$46,"new",'버전'!$E$7:$E$46,"&lt;="&amp;'분석조건'!$B$5)=0,"",_xlfn.MINIFS('버전'!$E$7:$E$46,'버전'!$B$7:$B$46,A17,'버전'!$D$7:$D$46,"new",'버전'!$E$7:$E$46,"&lt;="&amp;'분석조건'!$B$5))</x:f>
        <x:v>45902</x:v>
      </x:c>
      <x:c r="I17" s="11" t="n">
        <x:f>COUNTIFS('버전'!$B$7:$B$46,A17,'버전'!$D$7:$D$46,"revision",'버전'!$E$7:$E$46,"&lt;="&amp;'분석조건'!$B$5)</x:f>
        <x:v>0</x:v>
      </x:c>
      <x:c r="J17" s="11" t="n">
        <x:f>COUNTIFS('버전'!$B$7:$B$46,A17,'버전'!$E$7:$E$46,"&lt;="&amp;'분석조건'!$B$5)</x:f>
        <x:v>1</x:v>
      </x:c>
      <x:c r="K17" s="11" t="n">
        <x:f>IF(J17=0,"",'분석조건'!$B$5-F17)</x:f>
        <x:v>407</x:v>
      </x:c>
      <x:c r="L17" s="11" t="n">
        <x:f>IF(AND(J17&gt;0,OR('분석조건'!$B$7="all",C17='분석조건'!$B$7),OR('분석조건'!$B$8="all",D17='분석조건'!$B$8),OR('분석조건'!$B$9="all",AND('분석조건'!$B$9="revised",I17&gt;0),AND('분석조건'!$B$9="unrevised",I17=0)),ISNUMBER(SEARCH(SUBSTITUTE(SUBSTITUTE(SUBSTITUTE('분석조건'!$B$12,"~","~~"),"*","~*"),"?","~?"),A17&amp;" "&amp;B17&amp;" "&amp;C17))),1,0)</x:f>
        <x:v>1</x:v>
      </x:c>
      <x:c r="M17" s="11" t="n">
        <x:f>IF(AND(L17=1,K17&gt;'분석조건'!$B$10),1,0)</x:f>
        <x:v>0</x:v>
      </x:c>
      <x:c r="N17" s="26" t="n">
        <x:f>IF(L17=1,K17,"")</x:f>
        <x:v>407</x:v>
      </x:c>
    </x:row>
    <x:row r="18" ht="78" customHeight="1">
      <x:c r="A18" s="2" t="str">
        <x:v>03A-001</x:v>
      </x:c>
      <x:c r="B18" s="16" t="str">
        <x:v>미활용 열에너지 회수 및 이용 사업의 방법론</x:v>
      </x:c>
      <x:c r="C18" s="16" t="str">
        <x:v>에너지 수요</x:v>
      </x:c>
      <x:c r="D18" s="2" t="str">
        <x:v>직권등록</x:v>
      </x:c>
      <x:c r="E18" s="16" t="str">
        <x:v>https://ors.gir.go.kr/home/orme010/historyRead.do?methdSeq=40&amp;menuId=12</x:v>
      </x:c>
      <x:c r="F18" s="17" t="n">
        <x:f>IF(J18=0,"",_xlfn.MAXIFS('버전'!$E$7:$E$46,'버전'!$B$7:$B$46,A18,'버전'!$E$7:$E$46,"&lt;="&amp;'분석조건'!$B$5))</x:f>
        <x:v>42405</x:v>
      </x:c>
      <x:c r="G18" s="18" t="n">
        <x:f>IF(J18=0,"",_xlfn.MAXIFS('버전'!$H$7:$H$46,'버전'!$B$7:$B$46,A18,'버전'!$E$7:$E$46,F18))</x:f>
        <x:v>1</x:v>
      </x:c>
      <x:c r="H18" s="17" t="n">
        <x:f>IF(COUNTIFS('버전'!$B$7:$B$46,A18,'버전'!$D$7:$D$46,"new",'버전'!$E$7:$E$46,"&lt;="&amp;'분석조건'!$B$5)=0,"",_xlfn.MINIFS('버전'!$E$7:$E$46,'버전'!$B$7:$B$46,A18,'버전'!$D$7:$D$46,"new",'버전'!$E$7:$E$46,"&lt;="&amp;'분석조건'!$B$5))</x:f>
        <x:v>42405</x:v>
      </x:c>
      <x:c r="I18" s="11" t="n">
        <x:f>COUNTIFS('버전'!$B$7:$B$46,A18,'버전'!$D$7:$D$46,"revision",'버전'!$E$7:$E$46,"&lt;="&amp;'분석조건'!$B$5)</x:f>
        <x:v>0</x:v>
      </x:c>
      <x:c r="J18" s="11" t="n">
        <x:f>COUNTIFS('버전'!$B$7:$B$46,A18,'버전'!$E$7:$E$46,"&lt;="&amp;'분석조건'!$B$5)</x:f>
        <x:v>1</x:v>
      </x:c>
      <x:c r="K18" s="11" t="n">
        <x:f>IF(J18=0,"",'분석조건'!$B$5-F18)</x:f>
        <x:v>3904</x:v>
      </x:c>
      <x:c r="L18" s="11" t="n">
        <x:f>IF(AND(J18&gt;0,OR('분석조건'!$B$7="all",C18='분석조건'!$B$7),OR('분석조건'!$B$8="all",D18='분석조건'!$B$8),OR('분석조건'!$B$9="all",AND('분석조건'!$B$9="revised",I18&gt;0),AND('분석조건'!$B$9="unrevised",I18=0)),ISNUMBER(SEARCH(SUBSTITUTE(SUBSTITUTE(SUBSTITUTE('분석조건'!$B$12,"~","~~"),"*","~*"),"?","~?"),A18&amp;" "&amp;B18&amp;" "&amp;C18))),1,0)</x:f>
        <x:v>1</x:v>
      </x:c>
      <x:c r="M18" s="11" t="n">
        <x:f>IF(AND(L18=1,K18&gt;'분석조건'!$B$10),1,0)</x:f>
        <x:v>1</x:v>
      </x:c>
      <x:c r="N18" s="26" t="n">
        <x:f>IF(L18=1,K18,"")</x:f>
        <x:v>3904</x:v>
      </x:c>
    </x:row>
    <x:row r="19" ht="78" customHeight="1">
      <x:c r="A19" s="2" t="str">
        <x:v>03A-002</x:v>
      </x:c>
      <x:c r="B19" s="16" t="str">
        <x:v>연료 전환 사업의 방법론</x:v>
      </x:c>
      <x:c r="C19" s="16" t="str">
        <x:v>에너지 수요</x:v>
      </x:c>
      <x:c r="D19" s="2" t="str">
        <x:v>직권등록</x:v>
      </x:c>
      <x:c r="E19" s="16" t="str">
        <x:v>https://ors.gir.go.kr/home/orme010/historyRead.do?methdSeq=466&amp;menuId=12</x:v>
      </x:c>
      <x:c r="F19" s="17" t="n">
        <x:f>IF(J19=0,"",_xlfn.MAXIFS('버전'!$E$7:$E$46,'버전'!$B$7:$B$46,A19,'버전'!$E$7:$E$46,"&lt;="&amp;'분석조건'!$B$5))</x:f>
        <x:v>45447</x:v>
      </x:c>
      <x:c r="G19" s="18" t="n">
        <x:f>IF(J19=0,"",_xlfn.MAXIFS('버전'!$H$7:$H$46,'버전'!$B$7:$B$46,A19,'버전'!$E$7:$E$46,F19))</x:f>
        <x:v>3</x:v>
      </x:c>
      <x:c r="H19" s="17" t="n">
        <x:f>IF(COUNTIFS('버전'!$B$7:$B$46,A19,'버전'!$D$7:$D$46,"new",'버전'!$E$7:$E$46,"&lt;="&amp;'분석조건'!$B$5)=0,"",_xlfn.MINIFS('버전'!$E$7:$E$46,'버전'!$B$7:$B$46,A19,'버전'!$D$7:$D$46,"new",'버전'!$E$7:$E$46,"&lt;="&amp;'분석조건'!$B$5))</x:f>
        <x:v>42115</x:v>
      </x:c>
      <x:c r="I19" s="11" t="n">
        <x:f>COUNTIFS('버전'!$B$7:$B$46,A19,'버전'!$D$7:$D$46,"revision",'버전'!$E$7:$E$46,"&lt;="&amp;'분석조건'!$B$5)</x:f>
        <x:v>2</x:v>
      </x:c>
      <x:c r="J19" s="11" t="n">
        <x:f>COUNTIFS('버전'!$B$7:$B$46,A19,'버전'!$E$7:$E$46,"&lt;="&amp;'분석조건'!$B$5)</x:f>
        <x:v>3</x:v>
      </x:c>
      <x:c r="K19" s="11" t="n">
        <x:f>IF(J19=0,"",'분석조건'!$B$5-F19)</x:f>
        <x:v>862</x:v>
      </x:c>
      <x:c r="L19" s="11" t="n">
        <x:f>IF(AND(J19&gt;0,OR('분석조건'!$B$7="all",C19='분석조건'!$B$7),OR('분석조건'!$B$8="all",D19='분석조건'!$B$8),OR('분석조건'!$B$9="all",AND('분석조건'!$B$9="revised",I19&gt;0),AND('분석조건'!$B$9="unrevised",I19=0)),ISNUMBER(SEARCH(SUBSTITUTE(SUBSTITUTE(SUBSTITUTE('분석조건'!$B$12,"~","~~"),"*","~*"),"?","~?"),A19&amp;" "&amp;B19&amp;" "&amp;C19))),1,0)</x:f>
        <x:v>1</x:v>
      </x:c>
      <x:c r="M19" s="11" t="n">
        <x:f>IF(AND(L19=1,K19&gt;'분석조건'!$B$10),1,0)</x:f>
        <x:v>0</x:v>
      </x:c>
      <x:c r="N19" s="26" t="n">
        <x:f>IF(L19=1,K19,"")</x:f>
        <x:v>862</x:v>
      </x:c>
    </x:row>
    <x:row r="20" ht="78" customHeight="1">
      <x:c r="A20" s="2" t="str">
        <x:v>03A-003</x:v>
      </x:c>
      <x:c r="B20" s="16" t="str">
        <x:v>전력절감설비 설치사업의 방법론</x:v>
      </x:c>
      <x:c r="C20" s="16" t="str">
        <x:v>에너지 수요</x:v>
      </x:c>
      <x:c r="D20" s="2" t="str">
        <x:v>직권등록</x:v>
      </x:c>
      <x:c r="E20" s="16" t="str">
        <x:v>https://ors.gir.go.kr/home/orme010/historyRead.do?methdSeq=22&amp;menuId=12</x:v>
      </x:c>
      <x:c r="F20" s="17" t="n">
        <x:f>IF(J20=0,"",_xlfn.MAXIFS('버전'!$E$7:$E$46,'버전'!$B$7:$B$46,A20,'버전'!$E$7:$E$46,"&lt;="&amp;'분석조건'!$B$5))</x:f>
        <x:v>42115</x:v>
      </x:c>
      <x:c r="G20" s="18" t="n">
        <x:f>IF(J20=0,"",_xlfn.MAXIFS('버전'!$H$7:$H$46,'버전'!$B$7:$B$46,A20,'버전'!$E$7:$E$46,F20))</x:f>
        <x:v>1</x:v>
      </x:c>
      <x:c r="H20" s="17" t="n">
        <x:f>IF(COUNTIFS('버전'!$B$7:$B$46,A20,'버전'!$D$7:$D$46,"new",'버전'!$E$7:$E$46,"&lt;="&amp;'분석조건'!$B$5)=0,"",_xlfn.MINIFS('버전'!$E$7:$E$46,'버전'!$B$7:$B$46,A20,'버전'!$D$7:$D$46,"new",'버전'!$E$7:$E$46,"&lt;="&amp;'분석조건'!$B$5))</x:f>
        <x:v>42115</x:v>
      </x:c>
      <x:c r="I20" s="11" t="n">
        <x:f>COUNTIFS('버전'!$B$7:$B$46,A20,'버전'!$D$7:$D$46,"revision",'버전'!$E$7:$E$46,"&lt;="&amp;'분석조건'!$B$5)</x:f>
        <x:v>0</x:v>
      </x:c>
      <x:c r="J20" s="11" t="n">
        <x:f>COUNTIFS('버전'!$B$7:$B$46,A20,'버전'!$E$7:$E$46,"&lt;="&amp;'분석조건'!$B$5)</x:f>
        <x:v>1</x:v>
      </x:c>
      <x:c r="K20" s="11" t="n">
        <x:f>IF(J20=0,"",'분석조건'!$B$5-F20)</x:f>
        <x:v>4194</x:v>
      </x:c>
      <x:c r="L20" s="11" t="n">
        <x:f>IF(AND(J20&gt;0,OR('분석조건'!$B$7="all",C20='분석조건'!$B$7),OR('분석조건'!$B$8="all",D20='분석조건'!$B$8),OR('분석조건'!$B$9="all",AND('분석조건'!$B$9="revised",I20&gt;0),AND('분석조건'!$B$9="unrevised",I20=0)),ISNUMBER(SEARCH(SUBSTITUTE(SUBSTITUTE(SUBSTITUTE('분석조건'!$B$12,"~","~~"),"*","~*"),"?","~?"),A20&amp;" "&amp;B20&amp;" "&amp;C20))),1,0)</x:f>
        <x:v>1</x:v>
      </x:c>
      <x:c r="M20" s="11" t="n">
        <x:f>IF(AND(L20=1,K20&gt;'분석조건'!$B$10),1,0)</x:f>
        <x:v>1</x:v>
      </x:c>
      <x:c r="N20" s="26" t="n">
        <x:f>IF(L20=1,K20,"")</x:f>
        <x:v>4194</x:v>
      </x:c>
    </x:row>
    <x:row r="21" ht="78" customHeight="1">
      <x:c r="A21" s="2" t="str">
        <x:v>03A-004</x:v>
      </x:c>
      <x:c r="B21" s="16" t="str">
        <x:v>고효율 설비 교체 사업의 방법론</x:v>
      </x:c>
      <x:c r="C21" s="16" t="str">
        <x:v>에너지 수요</x:v>
      </x:c>
      <x:c r="D21" s="2" t="str">
        <x:v>직권등록</x:v>
      </x:c>
      <x:c r="E21" s="16" t="str">
        <x:v>https://ors.gir.go.kr/home/orme010/historyRead.do?methdSeq=23&amp;menuId=12</x:v>
      </x:c>
      <x:c r="F21" s="17" t="n">
        <x:f>IF(J21=0,"",_xlfn.MAXIFS('버전'!$E$7:$E$46,'버전'!$B$7:$B$46,A21,'버전'!$E$7:$E$46,"&lt;="&amp;'분석조건'!$B$5))</x:f>
        <x:v>42115</x:v>
      </x:c>
      <x:c r="G21" s="18" t="n">
        <x:f>IF(J21=0,"",_xlfn.MAXIFS('버전'!$H$7:$H$46,'버전'!$B$7:$B$46,A21,'버전'!$E$7:$E$46,F21))</x:f>
        <x:v>1</x:v>
      </x:c>
      <x:c r="H21" s="17" t="n">
        <x:f>IF(COUNTIFS('버전'!$B$7:$B$46,A21,'버전'!$D$7:$D$46,"new",'버전'!$E$7:$E$46,"&lt;="&amp;'분석조건'!$B$5)=0,"",_xlfn.MINIFS('버전'!$E$7:$E$46,'버전'!$B$7:$B$46,A21,'버전'!$D$7:$D$46,"new",'버전'!$E$7:$E$46,"&lt;="&amp;'분석조건'!$B$5))</x:f>
        <x:v>42115</x:v>
      </x:c>
      <x:c r="I21" s="11" t="n">
        <x:f>COUNTIFS('버전'!$B$7:$B$46,A21,'버전'!$D$7:$D$46,"revision",'버전'!$E$7:$E$46,"&lt;="&amp;'분석조건'!$B$5)</x:f>
        <x:v>0</x:v>
      </x:c>
      <x:c r="J21" s="11" t="n">
        <x:f>COUNTIFS('버전'!$B$7:$B$46,A21,'버전'!$E$7:$E$46,"&lt;="&amp;'분석조건'!$B$5)</x:f>
        <x:v>1</x:v>
      </x:c>
      <x:c r="K21" s="11" t="n">
        <x:f>IF(J21=0,"",'분석조건'!$B$5-F21)</x:f>
        <x:v>4194</x:v>
      </x:c>
      <x:c r="L21" s="11" t="n">
        <x:f>IF(AND(J21&gt;0,OR('분석조건'!$B$7="all",C21='분석조건'!$B$7),OR('분석조건'!$B$8="all",D21='분석조건'!$B$8),OR('분석조건'!$B$9="all",AND('분석조건'!$B$9="revised",I21&gt;0),AND('분석조건'!$B$9="unrevised",I21=0)),ISNUMBER(SEARCH(SUBSTITUTE(SUBSTITUTE(SUBSTITUTE('분석조건'!$B$12,"~","~~"),"*","~*"),"?","~?"),A21&amp;" "&amp;B21&amp;" "&amp;C21))),1,0)</x:f>
        <x:v>1</x:v>
      </x:c>
      <x:c r="M21" s="11" t="n">
        <x:f>IF(AND(L21=1,K21&gt;'분석조건'!$B$10),1,0)</x:f>
        <x:v>1</x:v>
      </x:c>
      <x:c r="N21" s="26" t="n">
        <x:f>IF(L21=1,K21,"")</x:f>
        <x:v>4194</x:v>
      </x:c>
    </x:row>
    <x:row r="22" ht="78" customHeight="1">
      <x:c r="A22" s="2" t="str">
        <x:v>03A-006</x:v>
      </x:c>
      <x:c r="B22" s="16" t="str">
        <x:v>고효율 도로조명 설치 사업의 방법론</x:v>
      </x:c>
      <x:c r="C22" s="16" t="str">
        <x:v>에너지 수요</x:v>
      </x:c>
      <x:c r="D22" s="2" t="str">
        <x:v>직권등록</x:v>
      </x:c>
      <x:c r="E22" s="16" t="str">
        <x:v>https://ors.gir.go.kr/home/orme010/historyRead.do?methdSeq=25&amp;menuId=12</x:v>
      </x:c>
      <x:c r="F22" s="17" t="n">
        <x:f>IF(J22=0,"",_xlfn.MAXIFS('버전'!$E$7:$E$46,'버전'!$B$7:$B$46,A22,'버전'!$E$7:$E$46,"&lt;="&amp;'분석조건'!$B$5))</x:f>
        <x:v>42115</x:v>
      </x:c>
      <x:c r="G22" s="18" t="n">
        <x:f>IF(J22=0,"",_xlfn.MAXIFS('버전'!$H$7:$H$46,'버전'!$B$7:$B$46,A22,'버전'!$E$7:$E$46,F22))</x:f>
        <x:v>1</x:v>
      </x:c>
      <x:c r="H22" s="17" t="n">
        <x:f>IF(COUNTIFS('버전'!$B$7:$B$46,A22,'버전'!$D$7:$D$46,"new",'버전'!$E$7:$E$46,"&lt;="&amp;'분석조건'!$B$5)=0,"",_xlfn.MINIFS('버전'!$E$7:$E$46,'버전'!$B$7:$B$46,A22,'버전'!$D$7:$D$46,"new",'버전'!$E$7:$E$46,"&lt;="&amp;'분석조건'!$B$5))</x:f>
        <x:v>42115</x:v>
      </x:c>
      <x:c r="I22" s="11" t="n">
        <x:f>COUNTIFS('버전'!$B$7:$B$46,A22,'버전'!$D$7:$D$46,"revision",'버전'!$E$7:$E$46,"&lt;="&amp;'분석조건'!$B$5)</x:f>
        <x:v>0</x:v>
      </x:c>
      <x:c r="J22" s="11" t="n">
        <x:f>COUNTIFS('버전'!$B$7:$B$46,A22,'버전'!$E$7:$E$46,"&lt;="&amp;'분석조건'!$B$5)</x:f>
        <x:v>1</x:v>
      </x:c>
      <x:c r="K22" s="11" t="n">
        <x:f>IF(J22=0,"",'분석조건'!$B$5-F22)</x:f>
        <x:v>4194</x:v>
      </x:c>
      <x:c r="L22" s="11" t="n">
        <x:f>IF(AND(J22&gt;0,OR('분석조건'!$B$7="all",C22='분석조건'!$B$7),OR('분석조건'!$B$8="all",D22='분석조건'!$B$8),OR('분석조건'!$B$9="all",AND('분석조건'!$B$9="revised",I22&gt;0),AND('분석조건'!$B$9="unrevised",I22=0)),ISNUMBER(SEARCH(SUBSTITUTE(SUBSTITUTE(SUBSTITUTE('분석조건'!$B$12,"~","~~"),"*","~*"),"?","~?"),A22&amp;" "&amp;B22&amp;" "&amp;C22))),1,0)</x:f>
        <x:v>1</x:v>
      </x:c>
      <x:c r="M22" s="11" t="n">
        <x:f>IF(AND(L22=1,K22&gt;'분석조건'!$B$10),1,0)</x:f>
        <x:v>1</x:v>
      </x:c>
      <x:c r="N22" s="26" t="n">
        <x:f>IF(L22=1,K22,"")</x:f>
        <x:v>4194</x:v>
      </x:c>
    </x:row>
    <x:row r="23" ht="78" customHeight="1">
      <x:c r="A23" s="2" t="str">
        <x:v>03A-008</x:v>
      </x:c>
      <x:c r="B23" s="16" t="str">
        <x:v>미활용 열에너지 회수를 통한 전력생산 및 계통연게 사업의 방법론</x:v>
      </x:c>
      <x:c r="C23" s="16" t="str">
        <x:v>에너지 수요</x:v>
      </x:c>
      <x:c r="D23" s="2" t="str">
        <x:v>직권등록</x:v>
      </x:c>
      <x:c r="E23" s="16" t="str">
        <x:v>https://ors.gir.go.kr/home/orme010/historyRead.do?methdSeq=42&amp;menuId=12</x:v>
      </x:c>
      <x:c r="F23" s="17" t="n">
        <x:f>IF(J23=0,"",_xlfn.MAXIFS('버전'!$E$7:$E$46,'버전'!$B$7:$B$46,A23,'버전'!$E$7:$E$46,"&lt;="&amp;'분석조건'!$B$5))</x:f>
        <x:v>42405</x:v>
      </x:c>
      <x:c r="G23" s="18" t="n">
        <x:f>IF(J23=0,"",_xlfn.MAXIFS('버전'!$H$7:$H$46,'버전'!$B$7:$B$46,A23,'버전'!$E$7:$E$46,F23))</x:f>
        <x:v>1</x:v>
      </x:c>
      <x:c r="H23" s="17" t="n">
        <x:f>IF(COUNTIFS('버전'!$B$7:$B$46,A23,'버전'!$D$7:$D$46,"new",'버전'!$E$7:$E$46,"&lt;="&amp;'분석조건'!$B$5)=0,"",_xlfn.MINIFS('버전'!$E$7:$E$46,'버전'!$B$7:$B$46,A23,'버전'!$D$7:$D$46,"new",'버전'!$E$7:$E$46,"&lt;="&amp;'분석조건'!$B$5))</x:f>
        <x:v>42405</x:v>
      </x:c>
      <x:c r="I23" s="11" t="n">
        <x:f>COUNTIFS('버전'!$B$7:$B$46,A23,'버전'!$D$7:$D$46,"revision",'버전'!$E$7:$E$46,"&lt;="&amp;'분석조건'!$B$5)</x:f>
        <x:v>0</x:v>
      </x:c>
      <x:c r="J23" s="11" t="n">
        <x:f>COUNTIFS('버전'!$B$7:$B$46,A23,'버전'!$E$7:$E$46,"&lt;="&amp;'분석조건'!$B$5)</x:f>
        <x:v>1</x:v>
      </x:c>
      <x:c r="K23" s="11" t="n">
        <x:f>IF(J23=0,"",'분석조건'!$B$5-F23)</x:f>
        <x:v>3904</x:v>
      </x:c>
      <x:c r="L23" s="11" t="n">
        <x:f>IF(AND(J23&gt;0,OR('분석조건'!$B$7="all",C23='분석조건'!$B$7),OR('분석조건'!$B$8="all",D23='분석조건'!$B$8),OR('분석조건'!$B$9="all",AND('분석조건'!$B$9="revised",I23&gt;0),AND('분석조건'!$B$9="unrevised",I23=0)),ISNUMBER(SEARCH(SUBSTITUTE(SUBSTITUTE(SUBSTITUTE('분석조건'!$B$12,"~","~~"),"*","~*"),"?","~?"),A23&amp;" "&amp;B23&amp;" "&amp;C23))),1,0)</x:f>
        <x:v>1</x:v>
      </x:c>
      <x:c r="M23" s="11" t="n">
        <x:f>IF(AND(L23=1,K23&gt;'분석조건'!$B$10),1,0)</x:f>
        <x:v>1</x:v>
      </x:c>
      <x:c r="N23" s="26" t="n">
        <x:f>IF(L23=1,K23,"")</x:f>
        <x:v>3904</x:v>
      </x:c>
    </x:row>
    <x:row r="24" ht="78" customHeight="1">
      <x:c r="A24" s="2" t="str">
        <x:v>03A-013</x:v>
      </x:c>
      <x:c r="B24" s="16" t="str">
        <x:v>주거용 시설의 심야 전기보일러에서 축열식 히트펌프 보일러로 교체 사업의 방법론</x:v>
      </x:c>
      <x:c r="C24" s="16" t="str">
        <x:v>에너지 수요</x:v>
      </x:c>
      <x:c r="D24" s="2" t="str">
        <x:v>신청등록</x:v>
      </x:c>
      <x:c r="E24" s="16" t="str">
        <x:v>https://ors.gir.go.kr/home/orme010/historyRead.do?methdSeq=50&amp;menuId=12</x:v>
      </x:c>
      <x:c r="F24" s="17" t="n">
        <x:f>IF(J24=0,"",_xlfn.MAXIFS('버전'!$E$7:$E$46,'버전'!$B$7:$B$46,A24,'버전'!$E$7:$E$46,"&lt;="&amp;'분석조건'!$B$5))</x:f>
        <x:v>43081</x:v>
      </x:c>
      <x:c r="G24" s="18" t="n">
        <x:f>IF(J24=0,"",_xlfn.MAXIFS('버전'!$H$7:$H$46,'버전'!$B$7:$B$46,A24,'버전'!$E$7:$E$46,F24))</x:f>
        <x:v>1</x:v>
      </x:c>
      <x:c r="H24" s="17" t="n">
        <x:f>IF(COUNTIFS('버전'!$B$7:$B$46,A24,'버전'!$D$7:$D$46,"new",'버전'!$E$7:$E$46,"&lt;="&amp;'분석조건'!$B$5)=0,"",_xlfn.MINIFS('버전'!$E$7:$E$46,'버전'!$B$7:$B$46,A24,'버전'!$D$7:$D$46,"new",'버전'!$E$7:$E$46,"&lt;="&amp;'분석조건'!$B$5))</x:f>
        <x:v>43081</x:v>
      </x:c>
      <x:c r="I24" s="11" t="n">
        <x:f>COUNTIFS('버전'!$B$7:$B$46,A24,'버전'!$D$7:$D$46,"revision",'버전'!$E$7:$E$46,"&lt;="&amp;'분석조건'!$B$5)</x:f>
        <x:v>0</x:v>
      </x:c>
      <x:c r="J24" s="11" t="n">
        <x:f>COUNTIFS('버전'!$B$7:$B$46,A24,'버전'!$E$7:$E$46,"&lt;="&amp;'분석조건'!$B$5)</x:f>
        <x:v>1</x:v>
      </x:c>
      <x:c r="K24" s="11" t="n">
        <x:f>IF(J24=0,"",'분석조건'!$B$5-F24)</x:f>
        <x:v>3228</x:v>
      </x:c>
      <x:c r="L24" s="11" t="n">
        <x:f>IF(AND(J24&gt;0,OR('분석조건'!$B$7="all",C24='분석조건'!$B$7),OR('분석조건'!$B$8="all",D24='분석조건'!$B$8),OR('분석조건'!$B$9="all",AND('분석조건'!$B$9="revised",I24&gt;0),AND('분석조건'!$B$9="unrevised",I24=0)),ISNUMBER(SEARCH(SUBSTITUTE(SUBSTITUTE(SUBSTITUTE('분석조건'!$B$12,"~","~~"),"*","~*"),"?","~?"),A24&amp;" "&amp;B24&amp;" "&amp;C24))),1,0)</x:f>
        <x:v>1</x:v>
      </x:c>
      <x:c r="M24" s="11" t="n">
        <x:f>IF(AND(L24=1,K24&gt;'분석조건'!$B$10),1,0)</x:f>
        <x:v>1</x:v>
      </x:c>
      <x:c r="N24" s="26" t="n">
        <x:f>IF(L24=1,K24,"")</x:f>
        <x:v>3228</x:v>
      </x:c>
    </x:row>
    <x:row r="25" ht="78" customHeight="1">
      <x:c r="A25" s="2" t="str">
        <x:v>03A-016</x:v>
      </x:c>
      <x:c r="B25" s="16" t="str">
        <x:v>LPG집단공급시설 설치를 통한 연료 전환 사업의 방법론</x:v>
      </x:c>
      <x:c r="C25" s="16" t="str">
        <x:v>에너지 수요</x:v>
      </x:c>
      <x:c r="D25" s="2" t="str">
        <x:v>직권등록</x:v>
      </x:c>
      <x:c r="E25" s="16" t="str">
        <x:v>https://ors.gir.go.kr/home/orme010/historyRead.do?methdSeq=337&amp;menuId=12</x:v>
      </x:c>
      <x:c r="F25" s="17" t="n">
        <x:f>IF(J25=0,"",_xlfn.MAXIFS('버전'!$E$7:$E$46,'버전'!$B$7:$B$46,A25,'버전'!$E$7:$E$46,"&lt;="&amp;'분석조건'!$B$5))</x:f>
        <x:v>43886</x:v>
      </x:c>
      <x:c r="G25" s="18" t="n">
        <x:f>IF(J25=0,"",_xlfn.MAXIFS('버전'!$H$7:$H$46,'버전'!$B$7:$B$46,A25,'버전'!$E$7:$E$46,F25))</x:f>
        <x:v>1</x:v>
      </x:c>
      <x:c r="H25" s="17" t="n">
        <x:f>IF(COUNTIFS('버전'!$B$7:$B$46,A25,'버전'!$D$7:$D$46,"new",'버전'!$E$7:$E$46,"&lt;="&amp;'분석조건'!$B$5)=0,"",_xlfn.MINIFS('버전'!$E$7:$E$46,'버전'!$B$7:$B$46,A25,'버전'!$D$7:$D$46,"new",'버전'!$E$7:$E$46,"&lt;="&amp;'분석조건'!$B$5))</x:f>
        <x:v>43886</x:v>
      </x:c>
      <x:c r="I25" s="11" t="n">
        <x:f>COUNTIFS('버전'!$B$7:$B$46,A25,'버전'!$D$7:$D$46,"revision",'버전'!$E$7:$E$46,"&lt;="&amp;'분석조건'!$B$5)</x:f>
        <x:v>0</x:v>
      </x:c>
      <x:c r="J25" s="11" t="n">
        <x:f>COUNTIFS('버전'!$B$7:$B$46,A25,'버전'!$E$7:$E$46,"&lt;="&amp;'분석조건'!$B$5)</x:f>
        <x:v>1</x:v>
      </x:c>
      <x:c r="K25" s="11" t="n">
        <x:f>IF(J25=0,"",'분석조건'!$B$5-F25)</x:f>
        <x:v>2423</x:v>
      </x:c>
      <x:c r="L25" s="11" t="n">
        <x:f>IF(AND(J25&gt;0,OR('분석조건'!$B$7="all",C25='분석조건'!$B$7),OR('분석조건'!$B$8="all",D25='분석조건'!$B$8),OR('분석조건'!$B$9="all",AND('분석조건'!$B$9="revised",I25&gt;0),AND('분석조건'!$B$9="unrevised",I25=0)),ISNUMBER(SEARCH(SUBSTITUTE(SUBSTITUTE(SUBSTITUTE('분석조건'!$B$12,"~","~~"),"*","~*"),"?","~?"),A25&amp;" "&amp;B25&amp;" "&amp;C25))),1,0)</x:f>
        <x:v>1</x:v>
      </x:c>
      <x:c r="M25" s="11" t="n">
        <x:f>IF(AND(L25=1,K25&gt;'분석조건'!$B$10),1,0)</x:f>
        <x:v>1</x:v>
      </x:c>
      <x:c r="N25" s="26" t="n">
        <x:f>IF(L25=1,K25,"")</x:f>
        <x:v>2423</x:v>
      </x:c>
    </x:row>
    <x:row r="26" ht="78" customHeight="1">
      <x:c r="A26" s="2" t="str">
        <x:v>03A-018</x:v>
      </x:c>
      <x:c r="B26" s="16" t="str">
        <x:v>Single RAN 설비를 도입하여 legacy 전기통신설비를 대체하는 사업의 방법론</x:v>
      </x:c>
      <x:c r="C26" s="16" t="str">
        <x:v>에너지 수요</x:v>
      </x:c>
      <x:c r="D26" s="2" t="str">
        <x:v>신청등록</x:v>
      </x:c>
      <x:c r="E26" s="16" t="str">
        <x:v>https://ors.gir.go.kr/home/orme010/historyRead.do?methdSeq=333&amp;menuId=12</x:v>
      </x:c>
      <x:c r="F26" s="17" t="n">
        <x:f>IF(J26=0,"",_xlfn.MAXIFS('버전'!$E$7:$E$46,'버전'!$B$7:$B$46,A26,'버전'!$E$7:$E$46,"&lt;="&amp;'분석조건'!$B$5))</x:f>
        <x:v>44120</x:v>
      </x:c>
      <x:c r="G26" s="18" t="n">
        <x:f>IF(J26=0,"",_xlfn.MAXIFS('버전'!$H$7:$H$46,'버전'!$B$7:$B$46,A26,'버전'!$E$7:$E$46,F26))</x:f>
        <x:v>1</x:v>
      </x:c>
      <x:c r="H26" s="17" t="n">
        <x:f>IF(COUNTIFS('버전'!$B$7:$B$46,A26,'버전'!$D$7:$D$46,"new",'버전'!$E$7:$E$46,"&lt;="&amp;'분석조건'!$B$5)=0,"",_xlfn.MINIFS('버전'!$E$7:$E$46,'버전'!$B$7:$B$46,A26,'버전'!$D$7:$D$46,"new",'버전'!$E$7:$E$46,"&lt;="&amp;'분석조건'!$B$5))</x:f>
        <x:v>44120</x:v>
      </x:c>
      <x:c r="I26" s="11" t="n">
        <x:f>COUNTIFS('버전'!$B$7:$B$46,A26,'버전'!$D$7:$D$46,"revision",'버전'!$E$7:$E$46,"&lt;="&amp;'분석조건'!$B$5)</x:f>
        <x:v>0</x:v>
      </x:c>
      <x:c r="J26" s="11" t="n">
        <x:f>COUNTIFS('버전'!$B$7:$B$46,A26,'버전'!$E$7:$E$46,"&lt;="&amp;'분석조건'!$B$5)</x:f>
        <x:v>1</x:v>
      </x:c>
      <x:c r="K26" s="11" t="n">
        <x:f>IF(J26=0,"",'분석조건'!$B$5-F26)</x:f>
        <x:v>2189</x:v>
      </x:c>
      <x:c r="L26" s="11" t="n">
        <x:f>IF(AND(J26&gt;0,OR('분석조건'!$B$7="all",C26='분석조건'!$B$7),OR('분석조건'!$B$8="all",D26='분석조건'!$B$8),OR('분석조건'!$B$9="all",AND('분석조건'!$B$9="revised",I26&gt;0),AND('분석조건'!$B$9="unrevised",I26=0)),ISNUMBER(SEARCH(SUBSTITUTE(SUBSTITUTE(SUBSTITUTE('분석조건'!$B$12,"~","~~"),"*","~*"),"?","~?"),A26&amp;" "&amp;B26&amp;" "&amp;C26))),1,0)</x:f>
        <x:v>1</x:v>
      </x:c>
      <x:c r="M26" s="11" t="n">
        <x:f>IF(AND(L26=1,K26&gt;'분석조건'!$B$10),1,0)</x:f>
        <x:v>1</x:v>
      </x:c>
      <x:c r="N26" s="26" t="n">
        <x:f>IF(L26=1,K26,"")</x:f>
        <x:v>2189</x:v>
      </x:c>
    </x:row>
    <x:row r="27" ht="78" customHeight="1">
      <x:c r="A27" s="2" t="str">
        <x:v>03A-027</x:v>
      </x:c>
      <x:c r="B27" s="16" t="str">
        <x:v>미활용 LNG 기화 냉열 활용을 통한 전력 및 또는 화석연료 사용 절감 사업의 방법론</x:v>
      </x:c>
      <x:c r="C27" s="16" t="str">
        <x:v>에너지 수요</x:v>
      </x:c>
      <x:c r="D27" s="2" t="str">
        <x:v>신청등록</x:v>
      </x:c>
      <x:c r="E27" s="16" t="str">
        <x:v>https://ors.gir.go.kr/home/orme010/historyRead.do?methdSeq=440&amp;menuId=12</x:v>
      </x:c>
      <x:c r="F27" s="17" t="n">
        <x:f>IF(J27=0,"",_xlfn.MAXIFS('버전'!$E$7:$E$46,'버전'!$B$7:$B$46,A27,'버전'!$E$7:$E$46,"&lt;="&amp;'분석조건'!$B$5))</x:f>
        <x:v>45359</x:v>
      </x:c>
      <x:c r="G27" s="18" t="n">
        <x:f>IF(J27=0,"",_xlfn.MAXIFS('버전'!$H$7:$H$46,'버전'!$B$7:$B$46,A27,'버전'!$E$7:$E$46,F27))</x:f>
        <x:v>1</x:v>
      </x:c>
      <x:c r="H27" s="17" t="n">
        <x:f>IF(COUNTIFS('버전'!$B$7:$B$46,A27,'버전'!$D$7:$D$46,"new",'버전'!$E$7:$E$46,"&lt;="&amp;'분석조건'!$B$5)=0,"",_xlfn.MINIFS('버전'!$E$7:$E$46,'버전'!$B$7:$B$46,A27,'버전'!$D$7:$D$46,"new",'버전'!$E$7:$E$46,"&lt;="&amp;'분석조건'!$B$5))</x:f>
        <x:v>45359</x:v>
      </x:c>
      <x:c r="I27" s="11" t="n">
        <x:f>COUNTIFS('버전'!$B$7:$B$46,A27,'버전'!$D$7:$D$46,"revision",'버전'!$E$7:$E$46,"&lt;="&amp;'분석조건'!$B$5)</x:f>
        <x:v>0</x:v>
      </x:c>
      <x:c r="J27" s="11" t="n">
        <x:f>COUNTIFS('버전'!$B$7:$B$46,A27,'버전'!$E$7:$E$46,"&lt;="&amp;'분석조건'!$B$5)</x:f>
        <x:v>1</x:v>
      </x:c>
      <x:c r="K27" s="11" t="n">
        <x:f>IF(J27=0,"",'분석조건'!$B$5-F27)</x:f>
        <x:v>950</x:v>
      </x:c>
      <x:c r="L27" s="11" t="n">
        <x:f>IF(AND(J27&gt;0,OR('분석조건'!$B$7="all",C27='분석조건'!$B$7),OR('분석조건'!$B$8="all",D27='분석조건'!$B$8),OR('분석조건'!$B$9="all",AND('분석조건'!$B$9="revised",I27&gt;0),AND('분석조건'!$B$9="unrevised",I27=0)),ISNUMBER(SEARCH(SUBSTITUTE(SUBSTITUTE(SUBSTITUTE('분석조건'!$B$12,"~","~~"),"*","~*"),"?","~?"),A27&amp;" "&amp;B27&amp;" "&amp;C27))),1,0)</x:f>
        <x:v>1</x:v>
      </x:c>
      <x:c r="M27" s="11" t="n">
        <x:f>IF(AND(L27=1,K27&gt;'분석조건'!$B$10),1,0)</x:f>
        <x:v>0</x:v>
      </x:c>
      <x:c r="N27" s="26" t="n">
        <x:f>IF(L27=1,K27,"")</x:f>
        <x:v>950</x:v>
      </x:c>
    </x:row>
    <x:row r="28" ht="78" customHeight="1">
      <x:c r="A28" s="2" t="str">
        <x:v>03A-030</x:v>
      </x:c>
      <x:c r="B28" s="16" t="str">
        <x:v>미활용 열에너지 회수 및 이용 또는 계통연계 사업의 방법론</x:v>
      </x:c>
      <x:c r="C28" s="16" t="str">
        <x:v>에너지 수요</x:v>
      </x:c>
      <x:c r="D28" s="2" t="str">
        <x:v>직권등록</x:v>
      </x:c>
      <x:c r="E28" s="16" t="str">
        <x:v>https://ors.gir.go.kr/home/orme010/historyRead.do?methdSeq=531&amp;menuId=12</x:v>
      </x:c>
      <x:c r="F28" s="17" t="n">
        <x:f>IF(J28=0,"",_xlfn.MAXIFS('버전'!$E$7:$E$46,'버전'!$B$7:$B$46,A28,'버전'!$E$7:$E$46,"&lt;="&amp;'분석조건'!$B$5))</x:f>
        <x:v>45993</x:v>
      </x:c>
      <x:c r="G28" s="18" t="n">
        <x:f>IF(J28=0,"",_xlfn.MAXIFS('버전'!$H$7:$H$46,'버전'!$B$7:$B$46,A28,'버전'!$E$7:$E$46,F28))</x:f>
        <x:v>2</x:v>
      </x:c>
      <x:c r="H28" s="17" t="n">
        <x:f>IF(COUNTIFS('버전'!$B$7:$B$46,A28,'버전'!$D$7:$D$46,"new",'버전'!$E$7:$E$46,"&lt;="&amp;'분석조건'!$B$5)=0,"",_xlfn.MINIFS('버전'!$E$7:$E$46,'버전'!$B$7:$B$46,A28,'버전'!$D$7:$D$46,"new",'버전'!$E$7:$E$46,"&lt;="&amp;'분석조건'!$B$5))</x:f>
        <x:v>45447</x:v>
      </x:c>
      <x:c r="I28" s="11" t="n">
        <x:f>COUNTIFS('버전'!$B$7:$B$46,A28,'버전'!$D$7:$D$46,"revision",'버전'!$E$7:$E$46,"&lt;="&amp;'분석조건'!$B$5)</x:f>
        <x:v>1</x:v>
      </x:c>
      <x:c r="J28" s="11" t="n">
        <x:f>COUNTIFS('버전'!$B$7:$B$46,A28,'버전'!$E$7:$E$46,"&lt;="&amp;'분석조건'!$B$5)</x:f>
        <x:v>2</x:v>
      </x:c>
      <x:c r="K28" s="11" t="n">
        <x:f>IF(J28=0,"",'분석조건'!$B$5-F28)</x:f>
        <x:v>316</x:v>
      </x:c>
      <x:c r="L28" s="11" t="n">
        <x:f>IF(AND(J28&gt;0,OR('분석조건'!$B$7="all",C28='분석조건'!$B$7),OR('분석조건'!$B$8="all",D28='분석조건'!$B$8),OR('분석조건'!$B$9="all",AND('분석조건'!$B$9="revised",I28&gt;0),AND('분석조건'!$B$9="unrevised",I28=0)),ISNUMBER(SEARCH(SUBSTITUTE(SUBSTITUTE(SUBSTITUTE('분석조건'!$B$12,"~","~~"),"*","~*"),"?","~?"),A28&amp;" "&amp;B28&amp;" "&amp;C28))),1,0)</x:f>
        <x:v>1</x:v>
      </x:c>
      <x:c r="M28" s="11" t="n">
        <x:f>IF(AND(L28=1,K28&gt;'분석조건'!$B$10),1,0)</x:f>
        <x:v>0</x:v>
      </x:c>
      <x:c r="N28" s="26" t="n">
        <x:f>IF(L28=1,K28,"")</x:f>
        <x:v>316</x:v>
      </x:c>
    </x:row>
    <x:row r="29" ht="78" customHeight="1">
      <x:c r="A29" s="2" t="str">
        <x:v>03A-033</x:v>
      </x:c>
      <x:c r="B29" s="16" t="str">
        <x:v>공동 통신망 기술 적용에 따른 온실가스 감축사업의 방법론</x:v>
      </x:c>
      <x:c r="C29" s="16" t="str">
        <x:v>에너지 수요</x:v>
      </x:c>
      <x:c r="D29" s="2" t="str">
        <x:v>신청등록</x:v>
      </x:c>
      <x:c r="E29" s="16" t="str">
        <x:v>https://ors.gir.go.kr/home/orme010/historyRead.do?methdSeq=436&amp;menuId=12</x:v>
      </x:c>
      <x:c r="F29" s="17" t="n">
        <x:f>IF(J29=0,"",_xlfn.MAXIFS('버전'!$E$7:$E$46,'버전'!$B$7:$B$46,A29,'버전'!$E$7:$E$46,"&lt;="&amp;'분석조건'!$B$5))</x:f>
        <x:v>45721</x:v>
      </x:c>
      <x:c r="G29" s="18" t="n">
        <x:f>IF(J29=0,"",_xlfn.MAXIFS('버전'!$H$7:$H$46,'버전'!$B$7:$B$46,A29,'버전'!$E$7:$E$46,F29))</x:f>
        <x:v>1</x:v>
      </x:c>
      <x:c r="H29" s="17" t="n">
        <x:f>IF(COUNTIFS('버전'!$B$7:$B$46,A29,'버전'!$D$7:$D$46,"new",'버전'!$E$7:$E$46,"&lt;="&amp;'분석조건'!$B$5)=0,"",_xlfn.MINIFS('버전'!$E$7:$E$46,'버전'!$B$7:$B$46,A29,'버전'!$D$7:$D$46,"new",'버전'!$E$7:$E$46,"&lt;="&amp;'분석조건'!$B$5))</x:f>
        <x:v>45721</x:v>
      </x:c>
      <x:c r="I29" s="11" t="n">
        <x:f>COUNTIFS('버전'!$B$7:$B$46,A29,'버전'!$D$7:$D$46,"revision",'버전'!$E$7:$E$46,"&lt;="&amp;'분석조건'!$B$5)</x:f>
        <x:v>0</x:v>
      </x:c>
      <x:c r="J29" s="11" t="n">
        <x:f>COUNTIFS('버전'!$B$7:$B$46,A29,'버전'!$E$7:$E$46,"&lt;="&amp;'분석조건'!$B$5)</x:f>
        <x:v>1</x:v>
      </x:c>
      <x:c r="K29" s="11" t="n">
        <x:f>IF(J29=0,"",'분석조건'!$B$5-F29)</x:f>
        <x:v>588</x:v>
      </x:c>
      <x:c r="L29" s="11" t="n">
        <x:f>IF(AND(J29&gt;0,OR('분석조건'!$B$7="all",C29='분석조건'!$B$7),OR('분석조건'!$B$8="all",D29='분석조건'!$B$8),OR('분석조건'!$B$9="all",AND('분석조건'!$B$9="revised",I29&gt;0),AND('분석조건'!$B$9="unrevised",I29=0)),ISNUMBER(SEARCH(SUBSTITUTE(SUBSTITUTE(SUBSTITUTE('분석조건'!$B$12,"~","~~"),"*","~*"),"?","~?"),A29&amp;" "&amp;B29&amp;" "&amp;C29))),1,0)</x:f>
        <x:v>1</x:v>
      </x:c>
      <x:c r="M29" s="11" t="n">
        <x:f>IF(AND(L29=1,K29&gt;'분석조건'!$B$10),1,0)</x:f>
        <x:v>0</x:v>
      </x:c>
      <x:c r="N29" s="26" t="n">
        <x:f>IF(L29=1,K29,"")</x:f>
        <x:v>588</x:v>
      </x:c>
    </x:row>
    <x:row r="30" ht="78" customHeight="1">
      <x:c r="A30" s="2" t="str">
        <x:v>04A-001</x:v>
      </x:c>
      <x:c r="B30" s="16" t="str">
        <x:v>혼합시멘트 생산에서 원료의 부분적인 전환 및 혼합재 비율 증가를 통한 온실가스 감축</x:v>
      </x:c>
      <x:c r="C30" s="16" t="str">
        <x:v>제조업</x:v>
      </x:c>
      <x:c r="D30" s="2" t="str">
        <x:v>신청등록</x:v>
      </x:c>
      <x:c r="E30" s="16" t="str">
        <x:v>https://ors.gir.go.kr/home/orme010/historyRead.do?methdSeq=330&amp;menuId=12</x:v>
      </x:c>
      <x:c r="F30" s="17" t="n">
        <x:f>IF(J30=0,"",_xlfn.MAXIFS('버전'!$E$7:$E$46,'버전'!$B$7:$B$46,A30,'버전'!$E$7:$E$46,"&lt;="&amp;'분석조건'!$B$5))</x:f>
        <x:v>44908</x:v>
      </x:c>
      <x:c r="G30" s="18" t="n">
        <x:f>IF(J30=0,"",_xlfn.MAXIFS('버전'!$H$7:$H$46,'버전'!$B$7:$B$46,A30,'버전'!$E$7:$E$46,F30))</x:f>
        <x:v>1</x:v>
      </x:c>
      <x:c r="H30" s="17" t="n">
        <x:f>IF(COUNTIFS('버전'!$B$7:$B$46,A30,'버전'!$D$7:$D$46,"new",'버전'!$E$7:$E$46,"&lt;="&amp;'분석조건'!$B$5)=0,"",_xlfn.MINIFS('버전'!$E$7:$E$46,'버전'!$B$7:$B$46,A30,'버전'!$D$7:$D$46,"new",'버전'!$E$7:$E$46,"&lt;="&amp;'분석조건'!$B$5))</x:f>
        <x:v>44908</x:v>
      </x:c>
      <x:c r="I30" s="11" t="n">
        <x:f>COUNTIFS('버전'!$B$7:$B$46,A30,'버전'!$D$7:$D$46,"revision",'버전'!$E$7:$E$46,"&lt;="&amp;'분석조건'!$B$5)</x:f>
        <x:v>0</x:v>
      </x:c>
      <x:c r="J30" s="11" t="n">
        <x:f>COUNTIFS('버전'!$B$7:$B$46,A30,'버전'!$E$7:$E$46,"&lt;="&amp;'분석조건'!$B$5)</x:f>
        <x:v>1</x:v>
      </x:c>
      <x:c r="K30" s="11" t="n">
        <x:f>IF(J30=0,"",'분석조건'!$B$5-F30)</x:f>
        <x:v>1401</x:v>
      </x:c>
      <x:c r="L30" s="11" t="n">
        <x:f>IF(AND(J30&gt;0,OR('분석조건'!$B$7="all",C30='분석조건'!$B$7),OR('분석조건'!$B$8="all",D30='분석조건'!$B$8),OR('분석조건'!$B$9="all",AND('분석조건'!$B$9="revised",I30&gt;0),AND('분석조건'!$B$9="unrevised",I30=0)),ISNUMBER(SEARCH(SUBSTITUTE(SUBSTITUTE(SUBSTITUTE('분석조건'!$B$12,"~","~~"),"*","~*"),"?","~?"),A30&amp;" "&amp;B30&amp;" "&amp;C30))),1,0)</x:f>
        <x:v>1</x:v>
      </x:c>
      <x:c r="M30" s="11" t="n">
        <x:f>IF(AND(L30=1,K30&gt;'분석조건'!$B$10),1,0)</x:f>
        <x:v>1</x:v>
      </x:c>
      <x:c r="N30" s="26" t="n">
        <x:f>IF(L30=1,K30,"")</x:f>
        <x:v>1401</x:v>
      </x:c>
    </x:row>
    <x:row r="31" ht="78" customHeight="1">
      <x:c r="A31" s="2" t="str">
        <x:v>04E-001</x:v>
      </x:c>
      <x:c r="B31" s="16" t="str">
        <x:v>제지공정에서 침강성탄산칼슘 제조과정의 미활용 CO2 이용과 에너지절감 사업의 방법론</x:v>
      </x:c>
      <x:c r="C31" s="16" t="str">
        <x:v>제조업</x:v>
      </x:c>
      <x:c r="D31" s="2" t="str">
        <x:v>신청등록</x:v>
      </x:c>
      <x:c r="E31" s="16" t="str">
        <x:v>https://ors.gir.go.kr/home/orme010/historyRead.do?methdSeq=369&amp;menuId=12</x:v>
      </x:c>
      <x:c r="F31" s="17" t="n">
        <x:f>IF(J31=0,"",_xlfn.MAXIFS('버전'!$E$7:$E$46,'버전'!$B$7:$B$46,A31,'버전'!$E$7:$E$46,"&lt;="&amp;'분석조건'!$B$5))</x:f>
        <x:v>44908</x:v>
      </x:c>
      <x:c r="G31" s="18" t="n">
        <x:f>IF(J31=0,"",_xlfn.MAXIFS('버전'!$H$7:$H$46,'버전'!$B$7:$B$46,A31,'버전'!$E$7:$E$46,F31))</x:f>
        <x:v>1</x:v>
      </x:c>
      <x:c r="H31" s="17" t="n">
        <x:f>IF(COUNTIFS('버전'!$B$7:$B$46,A31,'버전'!$D$7:$D$46,"new",'버전'!$E$7:$E$46,"&lt;="&amp;'분석조건'!$B$5)=0,"",_xlfn.MINIFS('버전'!$E$7:$E$46,'버전'!$B$7:$B$46,A31,'버전'!$D$7:$D$46,"new",'버전'!$E$7:$E$46,"&lt;="&amp;'분석조건'!$B$5))</x:f>
        <x:v>44908</x:v>
      </x:c>
      <x:c r="I31" s="11" t="n">
        <x:f>COUNTIFS('버전'!$B$7:$B$46,A31,'버전'!$D$7:$D$46,"revision",'버전'!$E$7:$E$46,"&lt;="&amp;'분석조건'!$B$5)</x:f>
        <x:v>0</x:v>
      </x:c>
      <x:c r="J31" s="11" t="n">
        <x:f>COUNTIFS('버전'!$B$7:$B$46,A31,'버전'!$E$7:$E$46,"&lt;="&amp;'분석조건'!$B$5)</x:f>
        <x:v>1</x:v>
      </x:c>
      <x:c r="K31" s="11" t="n">
        <x:f>IF(J31=0,"",'분석조건'!$B$5-F31)</x:f>
        <x:v>1401</x:v>
      </x:c>
      <x:c r="L31" s="11" t="n">
        <x:f>IF(AND(J31&gt;0,OR('분석조건'!$B$7="all",C31='분석조건'!$B$7),OR('분석조건'!$B$8="all",D31='분석조건'!$B$8),OR('분석조건'!$B$9="all",AND('분석조건'!$B$9="revised",I31&gt;0),AND('분석조건'!$B$9="unrevised",I31=0)),ISNUMBER(SEARCH(SUBSTITUTE(SUBSTITUTE(SUBSTITUTE('분석조건'!$B$12,"~","~~"),"*","~*"),"?","~?"),A31&amp;" "&amp;B31&amp;" "&amp;C31))),1,0)</x:f>
        <x:v>1</x:v>
      </x:c>
      <x:c r="M31" s="11" t="n">
        <x:f>IF(AND(L31=1,K31&gt;'분석조건'!$B$10),1,0)</x:f>
        <x:v>1</x:v>
      </x:c>
      <x:c r="N31" s="26" t="n">
        <x:f>IF(L31=1,K31,"")</x:f>
        <x:v>1401</x:v>
      </x:c>
    </x:row>
    <x:row r="32" ht="78" customHeight="1">
      <x:c r="A32" s="2" t="str">
        <x:v>05A-001</x:v>
      </x:c>
      <x:c r="B32" s="16" t="str">
        <x:v>부생수소 활용을 통한 수소제조공정 대체사업의 방법론</x:v>
      </x:c>
      <x:c r="C32" s="16" t="str">
        <x:v>화학산업</x:v>
      </x:c>
      <x:c r="D32" s="2" t="str">
        <x:v>신청등록</x:v>
      </x:c>
      <x:c r="E32" s="16" t="str">
        <x:v>https://ors.gir.go.kr/home/orme010/historyRead.do?methdSeq=325&amp;menuId=12</x:v>
      </x:c>
      <x:c r="F32" s="17" t="n">
        <x:f>IF(J32=0,"",_xlfn.MAXIFS('버전'!$E$7:$E$46,'버전'!$B$7:$B$46,A32,'버전'!$E$7:$E$46,"&lt;="&amp;'분석조건'!$B$5))</x:f>
        <x:v>44120</x:v>
      </x:c>
      <x:c r="G32" s="18" t="n">
        <x:f>IF(J32=0,"",_xlfn.MAXIFS('버전'!$H$7:$H$46,'버전'!$B$7:$B$46,A32,'버전'!$E$7:$E$46,F32))</x:f>
        <x:v>1</x:v>
      </x:c>
      <x:c r="H32" s="17" t="n">
        <x:f>IF(COUNTIFS('버전'!$B$7:$B$46,A32,'버전'!$D$7:$D$46,"new",'버전'!$E$7:$E$46,"&lt;="&amp;'분석조건'!$B$5)=0,"",_xlfn.MINIFS('버전'!$E$7:$E$46,'버전'!$B$7:$B$46,A32,'버전'!$D$7:$D$46,"new",'버전'!$E$7:$E$46,"&lt;="&amp;'분석조건'!$B$5))</x:f>
        <x:v>44120</x:v>
      </x:c>
      <x:c r="I32" s="11" t="n">
        <x:f>COUNTIFS('버전'!$B$7:$B$46,A32,'버전'!$D$7:$D$46,"revision",'버전'!$E$7:$E$46,"&lt;="&amp;'분석조건'!$B$5)</x:f>
        <x:v>0</x:v>
      </x:c>
      <x:c r="J32" s="11" t="n">
        <x:f>COUNTIFS('버전'!$B$7:$B$46,A32,'버전'!$E$7:$E$46,"&lt;="&amp;'분석조건'!$B$5)</x:f>
        <x:v>1</x:v>
      </x:c>
      <x:c r="K32" s="11" t="n">
        <x:f>IF(J32=0,"",'분석조건'!$B$5-F32)</x:f>
        <x:v>2189</x:v>
      </x:c>
      <x:c r="L32" s="11" t="n">
        <x:f>IF(AND(J32&gt;0,OR('분석조건'!$B$7="all",C32='분석조건'!$B$7),OR('분석조건'!$B$8="all",D32='분석조건'!$B$8),OR('분석조건'!$B$9="all",AND('분석조건'!$B$9="revised",I32&gt;0),AND('분석조건'!$B$9="unrevised",I32=0)),ISNUMBER(SEARCH(SUBSTITUTE(SUBSTITUTE(SUBSTITUTE('분석조건'!$B$12,"~","~~"),"*","~*"),"?","~?"),A32&amp;" "&amp;B32&amp;" "&amp;C32))),1,0)</x:f>
        <x:v>1</x:v>
      </x:c>
      <x:c r="M32" s="11" t="n">
        <x:f>IF(AND(L32=1,K32&gt;'분석조건'!$B$10),1,0)</x:f>
        <x:v>1</x:v>
      </x:c>
      <x:c r="N32" s="26" t="n">
        <x:f>IF(L32=1,K32,"")</x:f>
        <x:v>2189</x:v>
      </x:c>
    </x:row>
    <x:row r="33" ht="78" customHeight="1">
      <x:c r="A33" s="2" t="str">
        <x:v>06A-001</x:v>
      </x:c>
      <x:c r="B33" s="16" t="str">
        <x:v>국내 중온 아스팔트 혼합물 생산을 통한 연료 및 온실가스 저감에 대한 방법론</x:v>
      </x:c>
      <x:c r="C33" s="16" t="str">
        <x:v>건설</x:v>
      </x:c>
      <x:c r="D33" s="2" t="str">
        <x:v>신청등록</x:v>
      </x:c>
      <x:c r="E33" s="16" t="str">
        <x:v>https://ors.gir.go.kr/home/orme010/historyRead.do?methdSeq=324&amp;menuId=12</x:v>
      </x:c>
      <x:c r="F33" s="17" t="n">
        <x:f>IF(J33=0,"",_xlfn.MAXIFS('버전'!$E$7:$E$46,'버전'!$B$7:$B$46,A33,'버전'!$E$7:$E$46,"&lt;="&amp;'분석조건'!$B$5))</x:f>
        <x:v>44558</x:v>
      </x:c>
      <x:c r="G33" s="18" t="n">
        <x:f>IF(J33=0,"",_xlfn.MAXIFS('버전'!$H$7:$H$46,'버전'!$B$7:$B$46,A33,'버전'!$E$7:$E$46,F33))</x:f>
        <x:v>1</x:v>
      </x:c>
      <x:c r="H33" s="17" t="n">
        <x:f>IF(COUNTIFS('버전'!$B$7:$B$46,A33,'버전'!$D$7:$D$46,"new",'버전'!$E$7:$E$46,"&lt;="&amp;'분석조건'!$B$5)=0,"",_xlfn.MINIFS('버전'!$E$7:$E$46,'버전'!$B$7:$B$46,A33,'버전'!$D$7:$D$46,"new",'버전'!$E$7:$E$46,"&lt;="&amp;'분석조건'!$B$5))</x:f>
        <x:v>44558</x:v>
      </x:c>
      <x:c r="I33" s="11" t="n">
        <x:f>COUNTIFS('버전'!$B$7:$B$46,A33,'버전'!$D$7:$D$46,"revision",'버전'!$E$7:$E$46,"&lt;="&amp;'분석조건'!$B$5)</x:f>
        <x:v>0</x:v>
      </x:c>
      <x:c r="J33" s="11" t="n">
        <x:f>COUNTIFS('버전'!$B$7:$B$46,A33,'버전'!$E$7:$E$46,"&lt;="&amp;'분석조건'!$B$5)</x:f>
        <x:v>1</x:v>
      </x:c>
      <x:c r="K33" s="11" t="n">
        <x:f>IF(J33=0,"",'분석조건'!$B$5-F33)</x:f>
        <x:v>1751</x:v>
      </x:c>
      <x:c r="L33" s="11" t="n">
        <x:f>IF(AND(J33&gt;0,OR('분석조건'!$B$7="all",C33='분석조건'!$B$7),OR('분석조건'!$B$8="all",D33='분석조건'!$B$8),OR('분석조건'!$B$9="all",AND('분석조건'!$B$9="revised",I33&gt;0),AND('분석조건'!$B$9="unrevised",I33=0)),ISNUMBER(SEARCH(SUBSTITUTE(SUBSTITUTE(SUBSTITUTE('분석조건'!$B$12,"~","~~"),"*","~*"),"?","~?"),A33&amp;" "&amp;B33&amp;" "&amp;C33))),1,0)</x:f>
        <x:v>1</x:v>
      </x:c>
      <x:c r="M33" s="11" t="n">
        <x:f>IF(AND(L33=1,K33&gt;'분석조건'!$B$10),1,0)</x:f>
        <x:v>1</x:v>
      </x:c>
      <x:c r="N33" s="26" t="n">
        <x:f>IF(L33=1,K33,"")</x:f>
        <x:v>1751</x:v>
      </x:c>
    </x:row>
    <x:row r="34" ht="78" customHeight="1">
      <x:c r="A34" s="2" t="str">
        <x:v>11B-001</x:v>
      </x:c>
      <x:c r="B34" s="16" t="str">
        <x:v>가스절연개폐장치 검사용 SF6 회수ㆍ정제 및 재사용을 통한 SF6 감축사업의 방법론</x:v>
      </x:c>
      <x:c r="C34" s="16" t="str">
        <x:v>할로겐화탄소, 육불화황 생산및소비로부터의 탈루배출</x:v>
      </x:c>
      <x:c r="D34" s="2" t="str">
        <x:v>신청등록</x:v>
      </x:c>
      <x:c r="E34" s="16" t="str">
        <x:v>https://ors.gir.go.kr/home/orme010/historyRead.do?methdSeq=49&amp;menuId=12</x:v>
      </x:c>
      <x:c r="F34" s="17" t="n">
        <x:f>IF(J34=0,"",_xlfn.MAXIFS('버전'!$E$7:$E$46,'버전'!$B$7:$B$46,A34,'버전'!$E$7:$E$46,"&lt;="&amp;'분석조건'!$B$5))</x:f>
        <x:v>43081</x:v>
      </x:c>
      <x:c r="G34" s="18" t="n">
        <x:f>IF(J34=0,"",_xlfn.MAXIFS('버전'!$H$7:$H$46,'버전'!$B$7:$B$46,A34,'버전'!$E$7:$E$46,F34))</x:f>
        <x:v>1</x:v>
      </x:c>
      <x:c r="H34" s="17" t="n">
        <x:f>IF(COUNTIFS('버전'!$B$7:$B$46,A34,'버전'!$D$7:$D$46,"new",'버전'!$E$7:$E$46,"&lt;="&amp;'분석조건'!$B$5)=0,"",_xlfn.MINIFS('버전'!$E$7:$E$46,'버전'!$B$7:$B$46,A34,'버전'!$D$7:$D$46,"new",'버전'!$E$7:$E$46,"&lt;="&amp;'분석조건'!$B$5))</x:f>
        <x:v>43081</x:v>
      </x:c>
      <x:c r="I34" s="11" t="n">
        <x:f>COUNTIFS('버전'!$B$7:$B$46,A34,'버전'!$D$7:$D$46,"revision",'버전'!$E$7:$E$46,"&lt;="&amp;'분석조건'!$B$5)</x:f>
        <x:v>0</x:v>
      </x:c>
      <x:c r="J34" s="11" t="n">
        <x:f>COUNTIFS('버전'!$B$7:$B$46,A34,'버전'!$E$7:$E$46,"&lt;="&amp;'분석조건'!$B$5)</x:f>
        <x:v>1</x:v>
      </x:c>
      <x:c r="K34" s="11" t="n">
        <x:f>IF(J34=0,"",'분석조건'!$B$5-F34)</x:f>
        <x:v>3228</x:v>
      </x:c>
      <x:c r="L34" s="11" t="n">
        <x:f>IF(AND(J34&gt;0,OR('분석조건'!$B$7="all",C34='분석조건'!$B$7),OR('분석조건'!$B$8="all",D34='분석조건'!$B$8),OR('분석조건'!$B$9="all",AND('분석조건'!$B$9="revised",I34&gt;0),AND('분석조건'!$B$9="unrevised",I34=0)),ISNUMBER(SEARCH(SUBSTITUTE(SUBSTITUTE(SUBSTITUTE('분석조건'!$B$12,"~","~~"),"*","~*"),"?","~?"),A34&amp;" "&amp;B34&amp;" "&amp;C34))),1,0)</x:f>
        <x:v>1</x:v>
      </x:c>
      <x:c r="M34" s="11" t="n">
        <x:f>IF(AND(L34=1,K34&gt;'분석조건'!$B$10),1,0)</x:f>
        <x:v>1</x:v>
      </x:c>
      <x:c r="N34" s="26" t="n">
        <x:f>IF(L34=1,K34,"")</x:f>
        <x:v>3228</x:v>
      </x:c>
    </x:row>
    <x:row r="35" ht="78" customHeight="1">
      <x:c r="A35" s="2" t="str">
        <x:v>11B-002</x:v>
      </x:c>
      <x:c r="B35" s="16" t="str">
        <x:v>광전지 제조 공정의 SF6 가스 처리를 통한 온실가스 감축 사업의 방법론</x:v>
      </x:c>
      <x:c r="C35" s="16" t="str">
        <x:v>할로겐화탄소, 육불화황 생산및소비로부터의 탈루배출</x:v>
      </x:c>
      <x:c r="D35" s="2" t="str">
        <x:v>신청등록</x:v>
      </x:c>
      <x:c r="E35" s="16" t="str">
        <x:v>https://ors.gir.go.kr/home/orme010/historyRead.do?methdSeq=315&amp;menuId=12</x:v>
      </x:c>
      <x:c r="F35" s="17" t="n">
        <x:f>IF(J35=0,"",_xlfn.MAXIFS('버전'!$E$7:$E$46,'버전'!$B$7:$B$46,A35,'버전'!$E$7:$E$46,"&lt;="&amp;'분석조건'!$B$5))</x:f>
        <x:v>44120</x:v>
      </x:c>
      <x:c r="G35" s="18" t="n">
        <x:f>IF(J35=0,"",_xlfn.MAXIFS('버전'!$H$7:$H$46,'버전'!$B$7:$B$46,A35,'버전'!$E$7:$E$46,F35))</x:f>
        <x:v>1</x:v>
      </x:c>
      <x:c r="H35" s="17" t="n">
        <x:f>IF(COUNTIFS('버전'!$B$7:$B$46,A35,'버전'!$D$7:$D$46,"new",'버전'!$E$7:$E$46,"&lt;="&amp;'분석조건'!$B$5)=0,"",_xlfn.MINIFS('버전'!$E$7:$E$46,'버전'!$B$7:$B$46,A35,'버전'!$D$7:$D$46,"new",'버전'!$E$7:$E$46,"&lt;="&amp;'분석조건'!$B$5))</x:f>
        <x:v>44120</x:v>
      </x:c>
      <x:c r="I35" s="11" t="n">
        <x:f>COUNTIFS('버전'!$B$7:$B$46,A35,'버전'!$D$7:$D$46,"revision",'버전'!$E$7:$E$46,"&lt;="&amp;'분석조건'!$B$5)</x:f>
        <x:v>0</x:v>
      </x:c>
      <x:c r="J35" s="11" t="n">
        <x:f>COUNTIFS('버전'!$B$7:$B$46,A35,'버전'!$E$7:$E$46,"&lt;="&amp;'분석조건'!$B$5)</x:f>
        <x:v>1</x:v>
      </x:c>
      <x:c r="K35" s="11" t="n">
        <x:f>IF(J35=0,"",'분석조건'!$B$5-F35)</x:f>
        <x:v>2189</x:v>
      </x:c>
      <x:c r="L35" s="11" t="n">
        <x:f>IF(AND(J35&gt;0,OR('분석조건'!$B$7="all",C35='분석조건'!$B$7),OR('분석조건'!$B$8="all",D35='분석조건'!$B$8),OR('분석조건'!$B$9="all",AND('분석조건'!$B$9="revised",I35&gt;0),AND('분석조건'!$B$9="unrevised",I35=0)),ISNUMBER(SEARCH(SUBSTITUTE(SUBSTITUTE(SUBSTITUTE('분석조건'!$B$12,"~","~~"),"*","~*"),"?","~?"),A35&amp;" "&amp;B35&amp;" "&amp;C35))),1,0)</x:f>
        <x:v>1</x:v>
      </x:c>
      <x:c r="M35" s="11" t="n">
        <x:f>IF(AND(L35=1,K35&gt;'분석조건'!$B$10),1,0)</x:f>
        <x:v>1</x:v>
      </x:c>
      <x:c r="N35" s="26" t="n">
        <x:f>IF(L35=1,K35,"")</x:f>
        <x:v>2189</x:v>
      </x:c>
    </x:row>
    <x:row r="36" ht="78" customHeight="1">
      <x:c r="A36" s="2" t="str">
        <x:v>11B-003</x:v>
      </x:c>
      <x:c r="B36" s="16" t="str">
        <x:v>발포제로 사용되는 HFC-152a 회수·정제 및 재사용을 통한 HFC-152a 감축사업의 방법론</x:v>
      </x:c>
      <x:c r="C36" s="16" t="str">
        <x:v>할로겐화탄소, 육불화황 생산및소비로부터의 탈루배출</x:v>
      </x:c>
      <x:c r="D36" s="2" t="str">
        <x:v>신청등록</x:v>
      </x:c>
      <x:c r="E36" s="16" t="str">
        <x:v>https://ors.gir.go.kr/home/orme010/historyRead.do?methdSeq=299&amp;menuId=12</x:v>
      </x:c>
      <x:c r="F36" s="17" t="n">
        <x:f>IF(J36=0,"",_xlfn.MAXIFS('버전'!$E$7:$E$46,'버전'!$B$7:$B$46,A36,'버전'!$E$7:$E$46,"&lt;="&amp;'분석조건'!$B$5))</x:f>
        <x:v>44252</x:v>
      </x:c>
      <x:c r="G36" s="18" t="n">
        <x:f>IF(J36=0,"",_xlfn.MAXIFS('버전'!$H$7:$H$46,'버전'!$B$7:$B$46,A36,'버전'!$E$7:$E$46,F36))</x:f>
        <x:v>1</x:v>
      </x:c>
      <x:c r="H36" s="17" t="n">
        <x:f>IF(COUNTIFS('버전'!$B$7:$B$46,A36,'버전'!$D$7:$D$46,"new",'버전'!$E$7:$E$46,"&lt;="&amp;'분석조건'!$B$5)=0,"",_xlfn.MINIFS('버전'!$E$7:$E$46,'버전'!$B$7:$B$46,A36,'버전'!$D$7:$D$46,"new",'버전'!$E$7:$E$46,"&lt;="&amp;'분석조건'!$B$5))</x:f>
        <x:v>44252</x:v>
      </x:c>
      <x:c r="I36" s="11" t="n">
        <x:f>COUNTIFS('버전'!$B$7:$B$46,A36,'버전'!$D$7:$D$46,"revision",'버전'!$E$7:$E$46,"&lt;="&amp;'분석조건'!$B$5)</x:f>
        <x:v>0</x:v>
      </x:c>
      <x:c r="J36" s="11" t="n">
        <x:f>COUNTIFS('버전'!$B$7:$B$46,A36,'버전'!$E$7:$E$46,"&lt;="&amp;'분석조건'!$B$5)</x:f>
        <x:v>1</x:v>
      </x:c>
      <x:c r="K36" s="11" t="n">
        <x:f>IF(J36=0,"",'분석조건'!$B$5-F36)</x:f>
        <x:v>2057</x:v>
      </x:c>
      <x:c r="L36" s="11" t="n">
        <x:f>IF(AND(J36&gt;0,OR('분석조건'!$B$7="all",C36='분석조건'!$B$7),OR('분석조건'!$B$8="all",D36='분석조건'!$B$8),OR('분석조건'!$B$9="all",AND('분석조건'!$B$9="revised",I36&gt;0),AND('분석조건'!$B$9="unrevised",I36=0)),ISNUMBER(SEARCH(SUBSTITUTE(SUBSTITUTE(SUBSTITUTE('분석조건'!$B$12,"~","~~"),"*","~*"),"?","~?"),A36&amp;" "&amp;B36&amp;" "&amp;C36))),1,0)</x:f>
        <x:v>1</x:v>
      </x:c>
      <x:c r="M36" s="11" t="n">
        <x:f>IF(AND(L36=1,K36&gt;'분석조건'!$B$10),1,0)</x:f>
        <x:v>1</x:v>
      </x:c>
      <x:c r="N36" s="26" t="n">
        <x:f>IF(L36=1,K36,"")</x:f>
        <x:v>2057</x:v>
      </x:c>
    </x:row>
    <x:row r="37" ht="78" customHeight="1">
      <x:c r="A37" s="2" t="str">
        <x:v>11B-004</x:v>
      </x:c>
      <x:c r="B37" s="16" t="str">
        <x:v>가스절연 전기기기의 시험에 따라 발생되는 육불화황(SF6) 가스의 회수 및 플라즈마 분해를 통한 온실가스 감축 사업의 방법론</x:v>
      </x:c>
      <x:c r="C37" s="16" t="str">
        <x:v>할로겐화탄소, 육불화황 생산및소비로부터의 탈루배출</x:v>
      </x:c>
      <x:c r="D37" s="2" t="str">
        <x:v>신청등록</x:v>
      </x:c>
      <x:c r="E37" s="16" t="str">
        <x:v>https://ors.gir.go.kr/home/orme010/historyRead.do?methdSeq=515&amp;menuId=12</x:v>
      </x:c>
      <x:c r="F37" s="17" t="n">
        <x:f>IF(J37=0,"",_xlfn.MAXIFS('버전'!$E$7:$E$46,'버전'!$B$7:$B$46,A37,'버전'!$E$7:$E$46,"&lt;="&amp;'분석조건'!$B$5))</x:f>
        <x:v>46175</x:v>
      </x:c>
      <x:c r="G37" s="18" t="n">
        <x:f>IF(J37=0,"",_xlfn.MAXIFS('버전'!$H$7:$H$46,'버전'!$B$7:$B$46,A37,'버전'!$E$7:$E$46,F37))</x:f>
        <x:v>2</x:v>
      </x:c>
      <x:c r="H37" s="17" t="n">
        <x:f>IF(COUNTIFS('버전'!$B$7:$B$46,A37,'버전'!$D$7:$D$46,"new",'버전'!$E$7:$E$46,"&lt;="&amp;'분석조건'!$B$5)=0,"",_xlfn.MINIFS('버전'!$E$7:$E$46,'버전'!$B$7:$B$46,A37,'버전'!$D$7:$D$46,"new",'버전'!$E$7:$E$46,"&lt;="&amp;'분석조건'!$B$5))</x:f>
        <x:v>44558</x:v>
      </x:c>
      <x:c r="I37" s="11" t="n">
        <x:f>COUNTIFS('버전'!$B$7:$B$46,A37,'버전'!$D$7:$D$46,"revision",'버전'!$E$7:$E$46,"&lt;="&amp;'분석조건'!$B$5)</x:f>
        <x:v>1</x:v>
      </x:c>
      <x:c r="J37" s="11" t="n">
        <x:f>COUNTIFS('버전'!$B$7:$B$46,A37,'버전'!$E$7:$E$46,"&lt;="&amp;'분석조건'!$B$5)</x:f>
        <x:v>2</x:v>
      </x:c>
      <x:c r="K37" s="11" t="n">
        <x:f>IF(J37=0,"",'분석조건'!$B$5-F37)</x:f>
        <x:v>134</x:v>
      </x:c>
      <x:c r="L37" s="11" t="n">
        <x:f>IF(AND(J37&gt;0,OR('분석조건'!$B$7="all",C37='분석조건'!$B$7),OR('분석조건'!$B$8="all",D37='분석조건'!$B$8),OR('분석조건'!$B$9="all",AND('분석조건'!$B$9="revised",I37&gt;0),AND('분석조건'!$B$9="unrevised",I37=0)),ISNUMBER(SEARCH(SUBSTITUTE(SUBSTITUTE(SUBSTITUTE('분석조건'!$B$12,"~","~~"),"*","~*"),"?","~?"),A37&amp;" "&amp;B37&amp;" "&amp;C37))),1,0)</x:f>
        <x:v>1</x:v>
      </x:c>
      <x:c r="M37" s="11" t="n">
        <x:f>IF(AND(L37=1,K37&gt;'분석조건'!$B$10),1,0)</x:f>
        <x:v>0</x:v>
      </x:c>
      <x:c r="N37" s="26" t="n">
        <x:f>IF(L37=1,K37,"")</x:f>
        <x:v>134</x:v>
      </x:c>
    </x:row>
    <x:row r="38" ht="78" customHeight="1">
      <x:c r="A38" s="2" t="str">
        <x:v>11B-005</x:v>
      </x:c>
      <x:c r="B38" s="16" t="str">
        <x:v>전력계통내 폐기된 전기설비의 충진된 SF6를 회수 및 정제하는 사업의 방법론</x:v>
      </x:c>
      <x:c r="C38" s="16" t="str">
        <x:v>할로겐화탄소, 육불화황 생산및소비로부터의 탈루배출</x:v>
      </x:c>
      <x:c r="D38" s="2" t="str">
        <x:v>신청등록</x:v>
      </x:c>
      <x:c r="E38" s="16" t="str">
        <x:v>https://ors.gir.go.kr/home/orme010/historyRead.do?methdSeq=383&amp;menuId=12</x:v>
      </x:c>
      <x:c r="F38" s="17" t="n">
        <x:f>IF(J38=0,"",_xlfn.MAXIFS('버전'!$E$7:$E$46,'버전'!$B$7:$B$46,A38,'버전'!$E$7:$E$46,"&lt;="&amp;'분석조건'!$B$5))</x:f>
        <x:v>44992</x:v>
      </x:c>
      <x:c r="G38" s="18" t="n">
        <x:f>IF(J38=0,"",_xlfn.MAXIFS('버전'!$H$7:$H$46,'버전'!$B$7:$B$46,A38,'버전'!$E$7:$E$46,F38))</x:f>
        <x:v>1</x:v>
      </x:c>
      <x:c r="H38" s="17" t="n">
        <x:f>IF(COUNTIFS('버전'!$B$7:$B$46,A38,'버전'!$D$7:$D$46,"new",'버전'!$E$7:$E$46,"&lt;="&amp;'분석조건'!$B$5)=0,"",_xlfn.MINIFS('버전'!$E$7:$E$46,'버전'!$B$7:$B$46,A38,'버전'!$D$7:$D$46,"new",'버전'!$E$7:$E$46,"&lt;="&amp;'분석조건'!$B$5))</x:f>
        <x:v>44992</x:v>
      </x:c>
      <x:c r="I38" s="11" t="n">
        <x:f>COUNTIFS('버전'!$B$7:$B$46,A38,'버전'!$D$7:$D$46,"revision",'버전'!$E$7:$E$46,"&lt;="&amp;'분석조건'!$B$5)</x:f>
        <x:v>0</x:v>
      </x:c>
      <x:c r="J38" s="11" t="n">
        <x:f>COUNTIFS('버전'!$B$7:$B$46,A38,'버전'!$E$7:$E$46,"&lt;="&amp;'분석조건'!$B$5)</x:f>
        <x:v>1</x:v>
      </x:c>
      <x:c r="K38" s="11" t="n">
        <x:f>IF(J38=0,"",'분석조건'!$B$5-F38)</x:f>
        <x:v>1317</x:v>
      </x:c>
      <x:c r="L38" s="11" t="n">
        <x:f>IF(AND(J38&gt;0,OR('분석조건'!$B$7="all",C38='분석조건'!$B$7),OR('분석조건'!$B$8="all",D38='분석조건'!$B$8),OR('분석조건'!$B$9="all",AND('분석조건'!$B$9="revised",I38&gt;0),AND('분석조건'!$B$9="unrevised",I38=0)),ISNUMBER(SEARCH(SUBSTITUTE(SUBSTITUTE(SUBSTITUTE('분석조건'!$B$12,"~","~~"),"*","~*"),"?","~?"),A38&amp;" "&amp;B38&amp;" "&amp;C38))),1,0)</x:f>
        <x:v>1</x:v>
      </x:c>
      <x:c r="M38" s="11" t="n">
        <x:f>IF(AND(L38=1,K38&gt;'분석조건'!$B$10),1,0)</x:f>
        <x:v>1</x:v>
      </x:c>
      <x:c r="N38" s="26" t="n">
        <x:f>IF(L38=1,K38,"")</x:f>
        <x:v>1317</x:v>
      </x:c>
    </x:row>
    <x:row r="39" ht="78" customHeight="1">
      <x:c r="A39" s="2" t="str">
        <x:v>11B-006</x:v>
      </x:c>
      <x:c r="B39" s="16" t="str">
        <x:v>반도체 제조공정의 F-Gas 감축설비 도입을 통한 온실가스 감축 사업의 방법론</x:v>
      </x:c>
      <x:c r="C39" s="16" t="str">
        <x:v>할로겐화탄소, 육불화황 생산및소비로부터의 탈루배출</x:v>
      </x:c>
      <x:c r="D39" s="2" t="str">
        <x:v>신청등록</x:v>
      </x:c>
      <x:c r="E39" s="16" t="str">
        <x:v>https://ors.gir.go.kr/home/orme010/historyRead.do?methdSeq=404&amp;menuId=12</x:v>
      </x:c>
      <x:c r="F39" s="17" t="n">
        <x:f>IF(J39=0,"",_xlfn.MAXIFS('버전'!$E$7:$E$46,'버전'!$B$7:$B$46,A39,'버전'!$E$7:$E$46,"&lt;="&amp;'분석조건'!$B$5))</x:f>
        <x:v>44992</x:v>
      </x:c>
      <x:c r="G39" s="18" t="n">
        <x:f>IF(J39=0,"",_xlfn.MAXIFS('버전'!$H$7:$H$46,'버전'!$B$7:$B$46,A39,'버전'!$E$7:$E$46,F39))</x:f>
        <x:v>1</x:v>
      </x:c>
      <x:c r="H39" s="17" t="n">
        <x:f>IF(COUNTIFS('버전'!$B$7:$B$46,A39,'버전'!$D$7:$D$46,"new",'버전'!$E$7:$E$46,"&lt;="&amp;'분석조건'!$B$5)=0,"",_xlfn.MINIFS('버전'!$E$7:$E$46,'버전'!$B$7:$B$46,A39,'버전'!$D$7:$D$46,"new",'버전'!$E$7:$E$46,"&lt;="&amp;'분석조건'!$B$5))</x:f>
        <x:v>44992</x:v>
      </x:c>
      <x:c r="I39" s="11" t="n">
        <x:f>COUNTIFS('버전'!$B$7:$B$46,A39,'버전'!$D$7:$D$46,"revision",'버전'!$E$7:$E$46,"&lt;="&amp;'분석조건'!$B$5)</x:f>
        <x:v>0</x:v>
      </x:c>
      <x:c r="J39" s="11" t="n">
        <x:f>COUNTIFS('버전'!$B$7:$B$46,A39,'버전'!$E$7:$E$46,"&lt;="&amp;'분석조건'!$B$5)</x:f>
        <x:v>1</x:v>
      </x:c>
      <x:c r="K39" s="11" t="n">
        <x:f>IF(J39=0,"",'분석조건'!$B$5-F39)</x:f>
        <x:v>1317</x:v>
      </x:c>
      <x:c r="L39" s="11" t="n">
        <x:f>IF(AND(J39&gt;0,OR('분석조건'!$B$7="all",C39='분석조건'!$B$7),OR('분석조건'!$B$8="all",D39='분석조건'!$B$8),OR('분석조건'!$B$9="all",AND('분석조건'!$B$9="revised",I39&gt;0),AND('분석조건'!$B$9="unrevised",I39=0)),ISNUMBER(SEARCH(SUBSTITUTE(SUBSTITUTE(SUBSTITUTE('분석조건'!$B$12,"~","~~"),"*","~*"),"?","~?"),A39&amp;" "&amp;B39&amp;" "&amp;C39))),1,0)</x:f>
        <x:v>1</x:v>
      </x:c>
      <x:c r="M39" s="11" t="n">
        <x:f>IF(AND(L39=1,K39&gt;'분석조건'!$B$10),1,0)</x:f>
        <x:v>1</x:v>
      </x:c>
      <x:c r="N39" s="26" t="n">
        <x:f>IF(L39=1,K39,"")</x:f>
        <x:v>1317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44de08af558448b4"/>
  </x:tableParts>
</x:worksheet>
</file>

<file path=xl/worksheets/sheet5.xml><?xml version="1.0" encoding="utf-8"?>
<x:worksheet xmlns:x="http://schemas.openxmlformats.org/spreadsheetml/2006/main">
  <x:sheetPr>
    <x:tabColor rgb="FF246BE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70" hidden="0" customWidth="1"/>
    <x:col min="7" max="7" width="6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4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5" t="str">
        <x:v>공개 버전 이력</x:v>
      </x:c>
      <x:c r="B2" s="5"/>
      <x:c r="C2" s="5"/>
      <x:c r="D2" s="5"/>
      <x:c r="E2" s="5"/>
      <x:c r="F2" s="5"/>
      <x:c r="G2" s="5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6" t="str">
        <x:v>최초·개정 버전을 구분합니다. 유효시작일은 등록일·신청일과 다릅니다.</x:v>
      </x:c>
      <x:c r="B3" s="6"/>
      <x:c r="C3" s="6"/>
      <x:c r="D3" s="6"/>
      <x:c r="E3" s="6"/>
      <x:c r="F3" s="6"/>
      <x:c r="G3" s="6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15" t="str">
        <x:v>버전 ID</x:v>
      </x:c>
      <x:c r="B6" s="15" t="str">
        <x:v>방법론 코드</x:v>
      </x:c>
      <x:c r="C6" s="15" t="str">
        <x:v>버전</x:v>
      </x:c>
      <x:c r="D6" s="15" t="str">
        <x:v>구분</x:v>
      </x:c>
      <x:c r="E6" s="15" t="str">
        <x:v>유효시작일</x:v>
      </x:c>
      <x:c r="F6" s="15" t="str">
        <x:v>방법론명</x:v>
      </x:c>
      <x:c r="G6" s="15" t="str">
        <x:v>공개 출처</x:v>
      </x:c>
      <x:c r="H6" s="15" t="str">
        <x:v>버전 번호</x:v>
      </x:c>
      <x:c r="I6" s="15" t="str">
        <x:v>상한일 이내</x:v>
      </x:c>
      <x:c r="J6" s="15" t="str">
        <x:v>방법론 포함</x:v>
      </x:c>
      <x:c r="K6" s="15" t="str">
        <x:v>포함</x:v>
      </x:c>
      <x:c r="L6" s="15" t="str">
        <x:v>유효시작 연도</x:v>
      </x:c>
      <x:c r="M6" s="15" t="str">
        <x:v>최근 변경</x:v>
      </x:c>
      <x:c r="N6" s="15" t="str">
        <x:v>선택연도 동기간</x:v>
      </x:c>
      <x:c r="O6" s="15" t="str">
        <x:v>전년 동기간</x:v>
      </x:c>
    </x:row>
    <x:row r="7" ht="78" customHeight="1">
      <x:c r="A7" s="2" t="str">
        <x:v>01A-001-Ver01</x:v>
      </x:c>
      <x:c r="B7" s="2" t="str">
        <x:v>01A-001</x:v>
      </x:c>
      <x:c r="C7" s="19" t="str">
        <x:v>01</x:v>
      </x:c>
      <x:c r="D7" s="2" t="str">
        <x:v>new</x:v>
      </x:c>
      <x:c r="E7" s="9" t="n">
        <x:v>42115</x:v>
      </x:c>
      <x:c r="F7" s="16" t="str">
        <x:v>목재펠릿을 활용한 연료전환 사업의 방법론</x:v>
      </x:c>
      <x:c r="G7" s="16" t="str">
        <x:v>https://ors.gir.go.kr/home/orme010/historyRead.do?methdSeq=15&amp;menuId=12</x:v>
      </x:c>
      <x:c r="H7" s="11" t="n">
        <x:v>1</x:v>
      </x:c>
      <x:c r="I7" s="11" t="n">
        <x:f>IF(E7&lt;='분석조건'!$B$5,1,0)</x:f>
        <x:v>1</x:v>
      </x:c>
      <x:c r="J7" s="11" t="n">
        <x:f>INDEX('방법론'!$L$7:$L$39,MATCH(B7,'방법론'!$A$7:$A$39,0))</x:f>
        <x:v>1</x:v>
      </x:c>
      <x:c r="K7" s="11" t="n">
        <x:f>I7*J7</x:f>
        <x:v>1</x:v>
      </x:c>
      <x:c r="L7" s="11" t="n">
        <x:f>YEAR(E7)</x:f>
        <x:v>2015</x:v>
      </x:c>
      <x:c r="M7" s="11" t="n">
        <x:f>IF(AND(K7=1,'분석조건'!$B$5-E7&lt;'분석조건'!$B$11),1,0)</x:f>
        <x:v>0</x:v>
      </x:c>
      <x:c r="N7" s="11" t="n">
        <x:f>IF(AND(K7=1,E7&gt;=DATE('분석조건'!$B$6,1,1),E7&lt;='분석조건'!$B$14),1,0)</x:f>
        <x:v>0</x:v>
      </x:c>
      <x:c r="O7" s="11" t="n">
        <x:f>IF(AND(K7=1,E7&gt;=DATE('분석조건'!$B$6-1,1,1),E7&lt;='분석조건'!$B$15),1,0)</x:f>
        <x:v>0</x:v>
      </x:c>
    </x:row>
    <x:row r="8" ht="78" customHeight="1">
      <x:c r="A8" s="2" t="str">
        <x:v>01A-006-Ver01</x:v>
      </x:c>
      <x:c r="B8" s="2" t="str">
        <x:v>01A-006</x:v>
      </x:c>
      <x:c r="C8" s="19" t="str">
        <x:v>01</x:v>
      </x:c>
      <x:c r="D8" s="2" t="str">
        <x:v>new</x:v>
      </x:c>
      <x:c r="E8" s="9" t="n">
        <x:v>45902</x:v>
      </x:c>
      <x:c r="F8" s="16" t="str">
        <x:v>가축분뇨 고체연료를 활용한 열/전력 생산 및 이용 사업의 방법론</x:v>
      </x:c>
      <x:c r="G8" s="16" t="str">
        <x:v>https://ors.gir.go.kr/home/orme010/historyRead.do?methdSeq=469&amp;menuId=12</x:v>
      </x:c>
      <x:c r="H8" s="11" t="n">
        <x:v>1</x:v>
      </x:c>
      <x:c r="I8" s="11" t="n">
        <x:f>IF(E8&lt;='분석조건'!$B$5,1,0)</x:f>
        <x:v>1</x:v>
      </x:c>
      <x:c r="J8" s="11" t="n">
        <x:f>INDEX('방법론'!$L$7:$L$39,MATCH(B8,'방법론'!$A$7:$A$39,0))</x:f>
        <x:v>1</x:v>
      </x:c>
      <x:c r="K8" s="11" t="n">
        <x:f>I8*J8</x:f>
        <x:v>1</x:v>
      </x:c>
      <x:c r="L8" s="11" t="n">
        <x:f>YEAR(E8)</x:f>
        <x:v>2025</x:v>
      </x:c>
      <x:c r="M8" s="11" t="n">
        <x:f>IF(AND(K8=1,'분석조건'!$B$5-E8&lt;'분석조건'!$B$11),1,0)</x:f>
        <x:v>0</x:v>
      </x:c>
      <x:c r="N8" s="11" t="n">
        <x:f>IF(AND(K8=1,E8&gt;=DATE('분석조건'!$B$6,1,1),E8&lt;='분석조건'!$B$14),1,0)</x:f>
        <x:v>0</x:v>
      </x:c>
      <x:c r="O8" s="11" t="n">
        <x:f>IF(AND(K8=1,E8&gt;=DATE('분석조건'!$B$6-1,1,1),E8&lt;='분석조건'!$B$15),1,0)</x:f>
        <x:v>1</x:v>
      </x:c>
    </x:row>
    <x:row r="9" ht="78" customHeight="1">
      <x:c r="A9" s="2" t="str">
        <x:v>01B-001-Ver01</x:v>
      </x:c>
      <x:c r="B9" s="2" t="str">
        <x:v>01B-001</x:v>
      </x:c>
      <x:c r="C9" s="19" t="str">
        <x:v>01</x:v>
      </x:c>
      <x:c r="D9" s="2" t="str">
        <x:v>new</x:v>
      </x:c>
      <x:c r="E9" s="9" t="n">
        <x:v>42115</x:v>
      </x:c>
      <x:c r="F9" s="16" t="str">
        <x:v>재생에너지를 이용한 전력 생산 및 계통 연계 사업의 방법론</x:v>
      </x:c>
      <x:c r="G9" s="16" t="str">
        <x:v>https://ors.gir.go.kr/home/orme010/historyRead.do?methdSeq=18&amp;menuId=12</x:v>
      </x:c>
      <x:c r="H9" s="11" t="n">
        <x:v>1</x:v>
      </x:c>
      <x:c r="I9" s="11" t="n">
        <x:f>IF(E9&lt;='분석조건'!$B$5,1,0)</x:f>
        <x:v>1</x:v>
      </x:c>
      <x:c r="J9" s="11" t="n">
        <x:f>INDEX('방법론'!$L$7:$L$39,MATCH(B9,'방법론'!$A$7:$A$39,0))</x:f>
        <x:v>1</x:v>
      </x:c>
      <x:c r="K9" s="11" t="n">
        <x:f>I9*J9</x:f>
        <x:v>1</x:v>
      </x:c>
      <x:c r="L9" s="11" t="n">
        <x:f>YEAR(E9)</x:f>
        <x:v>2015</x:v>
      </x:c>
      <x:c r="M9" s="11" t="n">
        <x:f>IF(AND(K9=1,'분석조건'!$B$5-E9&lt;'분석조건'!$B$11),1,0)</x:f>
        <x:v>0</x:v>
      </x:c>
      <x:c r="N9" s="11" t="n">
        <x:f>IF(AND(K9=1,E9&gt;=DATE('분석조건'!$B$6,1,1),E9&lt;='분석조건'!$B$14),1,0)</x:f>
        <x:v>0</x:v>
      </x:c>
      <x:c r="O9" s="11" t="n">
        <x:f>IF(AND(K9=1,E9&gt;=DATE('분석조건'!$B$6-1,1,1),E9&lt;='분석조건'!$B$15),1,0)</x:f>
        <x:v>0</x:v>
      </x:c>
    </x:row>
    <x:row r="10" ht="78" customHeight="1">
      <x:c r="A10" s="2" t="str">
        <x:v>01B-003-Ver01</x:v>
      </x:c>
      <x:c r="B10" s="2" t="str">
        <x:v>01B-003</x:v>
      </x:c>
      <x:c r="C10" s="19" t="str">
        <x:v>01</x:v>
      </x:c>
      <x:c r="D10" s="2" t="str">
        <x:v>new</x:v>
      </x:c>
      <x:c r="E10" s="9" t="n">
        <x:v>42115</x:v>
      </x:c>
      <x:c r="F10" s="16" t="str">
        <x:v>태양열에너지를 이용한 열에너지 생산 및 이용 사업의 방법론</x:v>
      </x:c>
      <x:c r="G10" s="16" t="str">
        <x:v>https://ors.gir.go.kr/home/orme010/historyRead.do?methdSeq=20&amp;menuId=12</x:v>
      </x:c>
      <x:c r="H10" s="11" t="n">
        <x:v>1</x:v>
      </x:c>
      <x:c r="I10" s="11" t="n">
        <x:f>IF(E10&lt;='분석조건'!$B$5,1,0)</x:f>
        <x:v>1</x:v>
      </x:c>
      <x:c r="J10" s="11" t="n">
        <x:f>INDEX('방법론'!$L$7:$L$39,MATCH(B10,'방법론'!$A$7:$A$39,0))</x:f>
        <x:v>1</x:v>
      </x:c>
      <x:c r="K10" s="11" t="n">
        <x:f>I10*J10</x:f>
        <x:v>1</x:v>
      </x:c>
      <x:c r="L10" s="11" t="n">
        <x:f>YEAR(E10)</x:f>
        <x:v>2015</x:v>
      </x:c>
      <x:c r="M10" s="11" t="n">
        <x:f>IF(AND(K10=1,'분석조건'!$B$5-E10&lt;'분석조건'!$B$11),1,0)</x:f>
        <x:v>0</x:v>
      </x:c>
      <x:c r="N10" s="11" t="n">
        <x:f>IF(AND(K10=1,E10&gt;=DATE('분석조건'!$B$6,1,1),E10&lt;='분석조건'!$B$14),1,0)</x:f>
        <x:v>0</x:v>
      </x:c>
      <x:c r="O10" s="11" t="n">
        <x:f>IF(AND(K10=1,E10&gt;=DATE('분석조건'!$B$6-1,1,1),E10&lt;='분석조건'!$B$15),1,0)</x:f>
        <x:v>0</x:v>
      </x:c>
    </x:row>
    <x:row r="11" ht="78" customHeight="1">
      <x:c r="A11" s="2" t="str">
        <x:v>01B-004-Ver01</x:v>
      </x:c>
      <x:c r="B11" s="2" t="str">
        <x:v>01B-004</x:v>
      </x:c>
      <x:c r="C11" s="19" t="str">
        <x:v>01</x:v>
      </x:c>
      <x:c r="D11" s="2" t="str">
        <x:v>new</x:v>
      </x:c>
      <x:c r="E11" s="9" t="n">
        <x:v>42516</x:v>
      </x:c>
      <x:c r="F11" s="16" t="str">
        <x:v>재생에너지를 이용한 전력 생산 및 자가 사용 사업의 방법론</x:v>
      </x:c>
      <x:c r="G11" s="16" t="str">
        <x:v>https://ors.gir.go.kr/home/orme010/historyRead.do?methdSeq=44&amp;menuId=12</x:v>
      </x:c>
      <x:c r="H11" s="11" t="n">
        <x:v>1</x:v>
      </x:c>
      <x:c r="I11" s="11" t="n">
        <x:f>IF(E11&lt;='분석조건'!$B$5,1,0)</x:f>
        <x:v>1</x:v>
      </x:c>
      <x:c r="J11" s="11" t="n">
        <x:f>INDEX('방법론'!$L$7:$L$39,MATCH(B11,'방법론'!$A$7:$A$39,0))</x:f>
        <x:v>1</x:v>
      </x:c>
      <x:c r="K11" s="11" t="n">
        <x:f>I11*J11</x:f>
        <x:v>1</x:v>
      </x:c>
      <x:c r="L11" s="11" t="n">
        <x:f>YEAR(E11)</x:f>
        <x:v>2016</x:v>
      </x:c>
      <x:c r="M11" s="11" t="n">
        <x:f>IF(AND(K11=1,'분석조건'!$B$5-E11&lt;'분석조건'!$B$11),1,0)</x:f>
        <x:v>0</x:v>
      </x:c>
      <x:c r="N11" s="11" t="n">
        <x:f>IF(AND(K11=1,E11&gt;=DATE('분석조건'!$B$6,1,1),E11&lt;='분석조건'!$B$14),1,0)</x:f>
        <x:v>0</x:v>
      </x:c>
      <x:c r="O11" s="11" t="n">
        <x:f>IF(AND(K11=1,E11&gt;=DATE('분석조건'!$B$6-1,1,1),E11&lt;='분석조건'!$B$15),1,0)</x:f>
        <x:v>0</x:v>
      </x:c>
    </x:row>
    <x:row r="12" ht="78" customHeight="1">
      <x:c r="A12" s="2" t="str">
        <x:v>01B-008-Ver01</x:v>
      </x:c>
      <x:c r="B12" s="2" t="str">
        <x:v>01B-008</x:v>
      </x:c>
      <x:c r="C12" s="19" t="str">
        <x:v>01</x:v>
      </x:c>
      <x:c r="D12" s="2" t="str">
        <x:v>new</x:v>
      </x:c>
      <x:c r="E12" s="9" t="n">
        <x:v>43987</x:v>
      </x:c>
      <x:c r="F12" s="16" t="str">
        <x:v>전력 자가사용 및 독립된 소규모 계통 연계를 위한 재생에너지 발전사업의 방법론</x:v>
      </x:c>
      <x:c r="G12" s="16" t="str">
        <x:v>https://ors.gir.go.kr/home/orme010/historyRead.do?methdSeq=353&amp;menuId=12</x:v>
      </x:c>
      <x:c r="H12" s="11" t="n">
        <x:v>1</x:v>
      </x:c>
      <x:c r="I12" s="11" t="n">
        <x:f>IF(E12&lt;='분석조건'!$B$5,1,0)</x:f>
        <x:v>1</x:v>
      </x:c>
      <x:c r="J12" s="11" t="n">
        <x:f>INDEX('방법론'!$L$7:$L$39,MATCH(B12,'방법론'!$A$7:$A$39,0))</x:f>
        <x:v>1</x:v>
      </x:c>
      <x:c r="K12" s="11" t="n">
        <x:f>I12*J12</x:f>
        <x:v>1</x:v>
      </x:c>
      <x:c r="L12" s="11" t="n">
        <x:f>YEAR(E12)</x:f>
        <x:v>2020</x:v>
      </x:c>
      <x:c r="M12" s="11" t="n">
        <x:f>IF(AND(K12=1,'분석조건'!$B$5-E12&lt;'분석조건'!$B$11),1,0)</x:f>
        <x:v>0</x:v>
      </x:c>
      <x:c r="N12" s="11" t="n">
        <x:f>IF(AND(K12=1,E12&gt;=DATE('분석조건'!$B$6,1,1),E12&lt;='분석조건'!$B$14),1,0)</x:f>
        <x:v>0</x:v>
      </x:c>
      <x:c r="O12" s="11" t="n">
        <x:f>IF(AND(K12=1,E12&gt;=DATE('분석조건'!$B$6-1,1,1),E12&lt;='분석조건'!$B$15),1,0)</x:f>
        <x:v>0</x:v>
      </x:c>
    </x:row>
    <x:row r="13" ht="78" customHeight="1">
      <x:c r="A13" s="2" t="str">
        <x:v>01B-009-Ver01</x:v>
      </x:c>
      <x:c r="B13" s="2" t="str">
        <x:v>01B-009</x:v>
      </x:c>
      <x:c r="C13" s="19" t="str">
        <x:v>01</x:v>
      </x:c>
      <x:c r="D13" s="2" t="str">
        <x:v>new</x:v>
      </x:c>
      <x:c r="E13" s="9" t="n">
        <x:v>44834</x:v>
      </x:c>
      <x:c r="F13" s="16" t="str">
        <x:v>수소 연료전지를 이용한 전기 및 열생산 사업의 방법론</x:v>
      </x:c>
      <x:c r="G13" s="16" t="str">
        <x:v>https://ors.gir.go.kr/home/orme010/historyRead.do?methdSeq=532&amp;menuId=12</x:v>
      </x:c>
      <x:c r="H13" s="11" t="n">
        <x:v>1</x:v>
      </x:c>
      <x:c r="I13" s="11" t="n">
        <x:f>IF(E13&lt;='분석조건'!$B$5,1,0)</x:f>
        <x:v>1</x:v>
      </x:c>
      <x:c r="J13" s="11" t="n">
        <x:f>INDEX('방법론'!$L$7:$L$39,MATCH(B13,'방법론'!$A$7:$A$39,0))</x:f>
        <x:v>1</x:v>
      </x:c>
      <x:c r="K13" s="11" t="n">
        <x:f>I13*J13</x:f>
        <x:v>1</x:v>
      </x:c>
      <x:c r="L13" s="11" t="n">
        <x:f>YEAR(E13)</x:f>
        <x:v>2022</x:v>
      </x:c>
      <x:c r="M13" s="11" t="n">
        <x:f>IF(AND(K13=1,'분석조건'!$B$5-E13&lt;'분석조건'!$B$11),1,0)</x:f>
        <x:v>0</x:v>
      </x:c>
      <x:c r="N13" s="11" t="n">
        <x:f>IF(AND(K13=1,E13&gt;=DATE('분석조건'!$B$6,1,1),E13&lt;='분석조건'!$B$14),1,0)</x:f>
        <x:v>0</x:v>
      </x:c>
      <x:c r="O13" s="11" t="n">
        <x:f>IF(AND(K13=1,E13&gt;=DATE('분석조건'!$B$6-1,1,1),E13&lt;='분석조건'!$B$15),1,0)</x:f>
        <x:v>0</x:v>
      </x:c>
    </x:row>
    <x:row r="14" ht="78" customHeight="1">
      <x:c r="A14" s="2" t="str">
        <x:v>01B-009-Ver02</x:v>
      </x:c>
      <x:c r="B14" s="2" t="str">
        <x:v>01B-009</x:v>
      </x:c>
      <x:c r="C14" s="19" t="str">
        <x:v>02</x:v>
      </x:c>
      <x:c r="D14" s="2" t="str">
        <x:v>revision</x:v>
      </x:c>
      <x:c r="E14" s="9" t="n">
        <x:v>45993</x:v>
      </x:c>
      <x:c r="F14" s="16" t="str">
        <x:v>수소 연료전지를 이용한 전기 및 열생산 사업의 방법론</x:v>
      </x:c>
      <x:c r="G14" s="16" t="str">
        <x:v>https://ors.gir.go.kr/home/orme010/historyRead.do?methdSeq=532&amp;menuId=12</x:v>
      </x:c>
      <x:c r="H14" s="11" t="n">
        <x:v>2</x:v>
      </x:c>
      <x:c r="I14" s="11" t="n">
        <x:f>IF(E14&lt;='분석조건'!$B$5,1,0)</x:f>
        <x:v>1</x:v>
      </x:c>
      <x:c r="J14" s="11" t="n">
        <x:f>INDEX('방법론'!$L$7:$L$39,MATCH(B14,'방법론'!$A$7:$A$39,0))</x:f>
        <x:v>1</x:v>
      </x:c>
      <x:c r="K14" s="11" t="n">
        <x:f>I14*J14</x:f>
        <x:v>1</x:v>
      </x:c>
      <x:c r="L14" s="11" t="n">
        <x:f>YEAR(E14)</x:f>
        <x:v>2025</x:v>
      </x:c>
      <x:c r="M14" s="11" t="n">
        <x:f>IF(AND(K14=1,'분석조건'!$B$5-E14&lt;'분석조건'!$B$11),1,0)</x:f>
        <x:v>1</x:v>
      </x:c>
      <x:c r="N14" s="11" t="n">
        <x:f>IF(AND(K14=1,E14&gt;=DATE('분석조건'!$B$6,1,1),E14&lt;='분석조건'!$B$14),1,0)</x:f>
        <x:v>0</x:v>
      </x:c>
      <x:c r="O14" s="11" t="n">
        <x:f>IF(AND(K14=1,E14&gt;=DATE('분석조건'!$B$6-1,1,1),E14&lt;='분석조건'!$B$15),1,0)</x:f>
        <x:v>0</x:v>
      </x:c>
    </x:row>
    <x:row r="15" ht="78" customHeight="1">
      <x:c r="A15" s="2" t="str">
        <x:v>01B-011-Ver01</x:v>
      </x:c>
      <x:c r="B15" s="2" t="str">
        <x:v>01B-011</x:v>
      </x:c>
      <x:c r="C15" s="19" t="str">
        <x:v>01</x:v>
      </x:c>
      <x:c r="D15" s="2" t="str">
        <x:v>new</x:v>
      </x:c>
      <x:c r="E15" s="9" t="n">
        <x:v>45538</x:v>
      </x:c>
      <x:c r="F15" s="16" t="str">
        <x:v>재생에너지를 통해 생산한 전력을 자가 사용 및/또는 계통 연계하는 사업의 방법론</x:v>
      </x:c>
      <x:c r="G15" s="16" t="str">
        <x:v>https://ors.gir.go.kr/home/orme010/historyRead.do?methdSeq=537&amp;menuId=12</x:v>
      </x:c>
      <x:c r="H15" s="11" t="n">
        <x:v>1</x:v>
      </x:c>
      <x:c r="I15" s="11" t="n">
        <x:f>IF(E15&lt;='분석조건'!$B$5,1,0)</x:f>
        <x:v>1</x:v>
      </x:c>
      <x:c r="J15" s="11" t="n">
        <x:f>INDEX('방법론'!$L$7:$L$39,MATCH(B15,'방법론'!$A$7:$A$39,0))</x:f>
        <x:v>1</x:v>
      </x:c>
      <x:c r="K15" s="11" t="n">
        <x:f>I15*J15</x:f>
        <x:v>1</x:v>
      </x:c>
      <x:c r="L15" s="11" t="n">
        <x:f>YEAR(E15)</x:f>
        <x:v>2024</x:v>
      </x:c>
      <x:c r="M15" s="11" t="n">
        <x:f>IF(AND(K15=1,'분석조건'!$B$5-E15&lt;'분석조건'!$B$11),1,0)</x:f>
        <x:v>0</x:v>
      </x:c>
      <x:c r="N15" s="11" t="n">
        <x:f>IF(AND(K15=1,E15&gt;=DATE('분석조건'!$B$6,1,1),E15&lt;='분석조건'!$B$14),1,0)</x:f>
        <x:v>0</x:v>
      </x:c>
      <x:c r="O15" s="11" t="n">
        <x:f>IF(AND(K15=1,E15&gt;=DATE('분석조건'!$B$6-1,1,1),E15&lt;='분석조건'!$B$15),1,0)</x:f>
        <x:v>0</x:v>
      </x:c>
    </x:row>
    <x:row r="16" ht="78" customHeight="1">
      <x:c r="A16" s="2" t="str">
        <x:v>01B-011-Ver02</x:v>
      </x:c>
      <x:c r="B16" s="2" t="str">
        <x:v>01B-011</x:v>
      </x:c>
      <x:c r="C16" s="19" t="str">
        <x:v>02</x:v>
      </x:c>
      <x:c r="D16" s="2" t="str">
        <x:v>revision</x:v>
      </x:c>
      <x:c r="E16" s="9" t="n">
        <x:v>46267</x:v>
      </x:c>
      <x:c r="F16" s="16" t="str">
        <x:v>재생에너지를 통해 생산한 전력을 자가 사용 및/또는 계통 연계하는 사업의 방법론</x:v>
      </x:c>
      <x:c r="G16" s="16" t="str">
        <x:v>https://ors.gir.go.kr/home/orme010/historyRead.do?methdSeq=537&amp;menuId=12</x:v>
      </x:c>
      <x:c r="H16" s="11" t="n">
        <x:v>2</x:v>
      </x:c>
      <x:c r="I16" s="11" t="n">
        <x:f>IF(E16&lt;='분석조건'!$B$5,1,0)</x:f>
        <x:v>1</x:v>
      </x:c>
      <x:c r="J16" s="11" t="n">
        <x:f>INDEX('방법론'!$L$7:$L$39,MATCH(B16,'방법론'!$A$7:$A$39,0))</x:f>
        <x:v>1</x:v>
      </x:c>
      <x:c r="K16" s="11" t="n">
        <x:f>I16*J16</x:f>
        <x:v>1</x:v>
      </x:c>
      <x:c r="L16" s="11" t="n">
        <x:f>YEAR(E16)</x:f>
        <x:v>2026</x:v>
      </x:c>
      <x:c r="M16" s="11" t="n">
        <x:f>IF(AND(K16=1,'분석조건'!$B$5-E16&lt;'분석조건'!$B$11),1,0)</x:f>
        <x:v>1</x:v>
      </x:c>
      <x:c r="N16" s="11" t="n">
        <x:f>IF(AND(K16=1,E16&gt;=DATE('분석조건'!$B$6,1,1),E16&lt;='분석조건'!$B$14),1,0)</x:f>
        <x:v>1</x:v>
      </x:c>
      <x:c r="O16" s="11" t="n">
        <x:f>IF(AND(K16=1,E16&gt;=DATE('분석조건'!$B$6-1,1,1),E16&lt;='분석조건'!$B$15),1,0)</x:f>
        <x:v>0</x:v>
      </x:c>
    </x:row>
    <x:row r="17" ht="78" customHeight="1">
      <x:c r="A17" s="2" t="str">
        <x:v>02A-001-Ver01</x:v>
      </x:c>
      <x:c r="B17" s="2" t="str">
        <x:v>02A-001</x:v>
      </x:c>
      <x:c r="C17" s="19" t="str">
        <x:v>01</x:v>
      </x:c>
      <x:c r="D17" s="2" t="str">
        <x:v>new</x:v>
      </x:c>
      <x:c r="E17" s="9" t="n">
        <x:v>45538</x:v>
      </x:c>
      <x:c r="F17" s="16" t="str">
        <x:v>자가발전을 통한 사업장 전력 대체 온실가스 감축 방법론</x:v>
      </x:c>
      <x:c r="G17" s="16" t="str">
        <x:v>https://ors.gir.go.kr/home/orme010/historyRead.do?methdSeq=406&amp;menuId=12</x:v>
      </x:c>
      <x:c r="H17" s="11" t="n">
        <x:v>1</x:v>
      </x:c>
      <x:c r="I17" s="11" t="n">
        <x:f>IF(E17&lt;='분석조건'!$B$5,1,0)</x:f>
        <x:v>1</x:v>
      </x:c>
      <x:c r="J17" s="11" t="n">
        <x:f>INDEX('방법론'!$L$7:$L$39,MATCH(B17,'방법론'!$A$7:$A$39,0))</x:f>
        <x:v>1</x:v>
      </x:c>
      <x:c r="K17" s="11" t="n">
        <x:f>I17*J17</x:f>
        <x:v>1</x:v>
      </x:c>
      <x:c r="L17" s="11" t="n">
        <x:f>YEAR(E17)</x:f>
        <x:v>2024</x:v>
      </x:c>
      <x:c r="M17" s="11" t="n">
        <x:f>IF(AND(K17=1,'분석조건'!$B$5-E17&lt;'분석조건'!$B$11),1,0)</x:f>
        <x:v>0</x:v>
      </x:c>
      <x:c r="N17" s="11" t="n">
        <x:f>IF(AND(K17=1,E17&gt;=DATE('분석조건'!$B$6,1,1),E17&lt;='분석조건'!$B$14),1,0)</x:f>
        <x:v>0</x:v>
      </x:c>
      <x:c r="O17" s="11" t="n">
        <x:f>IF(AND(K17=1,E17&gt;=DATE('분석조건'!$B$6-1,1,1),E17&lt;='분석조건'!$B$15),1,0)</x:f>
        <x:v>0</x:v>
      </x:c>
    </x:row>
    <x:row r="18" ht="78" customHeight="1">
      <x:c r="A18" s="2" t="str">
        <x:v>02B-001-Ver01</x:v>
      </x:c>
      <x:c r="B18" s="2" t="str">
        <x:v>02B-001</x:v>
      </x:c>
      <x:c r="C18" s="19" t="str">
        <x:v>01</x:v>
      </x:c>
      <x:c r="D18" s="2" t="str">
        <x:v>new</x:v>
      </x:c>
      <x:c r="E18" s="9" t="n">
        <x:v>42810</x:v>
      </x:c>
      <x:c r="F18" s="16" t="str">
        <x:v>열공급시설에서 목질계 바이오매스 연료를 이용하여 생산된 열에너지 공급을 통한 수용가의 화석연료 사용량 절감사업의 방법론</x:v>
      </x:c>
      <x:c r="G18" s="16" t="str">
        <x:v>https://ors.gir.go.kr/home/orme010/historyRead.do?methdSeq=332&amp;menuId=12</x:v>
      </x:c>
      <x:c r="H18" s="11" t="n">
        <x:v>1</x:v>
      </x:c>
      <x:c r="I18" s="11" t="n">
        <x:f>IF(E18&lt;='분석조건'!$B$5,1,0)</x:f>
        <x:v>1</x:v>
      </x:c>
      <x:c r="J18" s="11" t="n">
        <x:f>INDEX('방법론'!$L$7:$L$39,MATCH(B18,'방법론'!$A$7:$A$39,0))</x:f>
        <x:v>1</x:v>
      </x:c>
      <x:c r="K18" s="11" t="n">
        <x:f>I18*J18</x:f>
        <x:v>1</x:v>
      </x:c>
      <x:c r="L18" s="11" t="n">
        <x:f>YEAR(E18)</x:f>
        <x:v>2017</x:v>
      </x:c>
      <x:c r="M18" s="11" t="n">
        <x:f>IF(AND(K18=1,'분석조건'!$B$5-E18&lt;'분석조건'!$B$11),1,0)</x:f>
        <x:v>0</x:v>
      </x:c>
      <x:c r="N18" s="11" t="n">
        <x:f>IF(AND(K18=1,E18&gt;=DATE('분석조건'!$B$6,1,1),E18&lt;='분석조건'!$B$14),1,0)</x:f>
        <x:v>0</x:v>
      </x:c>
      <x:c r="O18" s="11" t="n">
        <x:f>IF(AND(K18=1,E18&gt;=DATE('분석조건'!$B$6-1,1,1),E18&lt;='분석조건'!$B$15),1,0)</x:f>
        <x:v>0</x:v>
      </x:c>
    </x:row>
    <x:row r="19" ht="78" customHeight="1">
      <x:c r="A19" s="2" t="str">
        <x:v>02B-001-Ver02</x:v>
      </x:c>
      <x:c r="B19" s="2" t="str">
        <x:v>02B-001</x:v>
      </x:c>
      <x:c r="C19" s="19" t="str">
        <x:v>02</x:v>
      </x:c>
      <x:c r="D19" s="2" t="str">
        <x:v>revision</x:v>
      </x:c>
      <x:c r="E19" s="9" t="n">
        <x:v>44252</x:v>
      </x:c>
      <x:c r="F19" s="16" t="str">
        <x:v>열공급시설에서 목질계 바이오매스 연료를 이용하여 생산된 열에너지 공급을 통한 수용가의 화석연료 사용량 절감사업의 방법론</x:v>
      </x:c>
      <x:c r="G19" s="16" t="str">
        <x:v>https://ors.gir.go.kr/home/orme010/historyRead.do?methdSeq=332&amp;menuId=12</x:v>
      </x:c>
      <x:c r="H19" s="11" t="n">
        <x:v>2</x:v>
      </x:c>
      <x:c r="I19" s="11" t="n">
        <x:f>IF(E19&lt;='분석조건'!$B$5,1,0)</x:f>
        <x:v>1</x:v>
      </x:c>
      <x:c r="J19" s="11" t="n">
        <x:f>INDEX('방법론'!$L$7:$L$39,MATCH(B19,'방법론'!$A$7:$A$39,0))</x:f>
        <x:v>1</x:v>
      </x:c>
      <x:c r="K19" s="11" t="n">
        <x:f>I19*J19</x:f>
        <x:v>1</x:v>
      </x:c>
      <x:c r="L19" s="11" t="n">
        <x:f>YEAR(E19)</x:f>
        <x:v>2021</x:v>
      </x:c>
      <x:c r="M19" s="11" t="n">
        <x:f>IF(AND(K19=1,'분석조건'!$B$5-E19&lt;'분석조건'!$B$11),1,0)</x:f>
        <x:v>0</x:v>
      </x:c>
      <x:c r="N19" s="11" t="n">
        <x:f>IF(AND(K19=1,E19&gt;=DATE('분석조건'!$B$6,1,1),E19&lt;='분석조건'!$B$14),1,0)</x:f>
        <x:v>0</x:v>
      </x:c>
      <x:c r="O19" s="11" t="n">
        <x:f>IF(AND(K19=1,E19&gt;=DATE('분석조건'!$B$6-1,1,1),E19&lt;='분석조건'!$B$15),1,0)</x:f>
        <x:v>0</x:v>
      </x:c>
    </x:row>
    <x:row r="20" ht="78" customHeight="1">
      <x:c r="A20" s="2" t="str">
        <x:v>02B-002-Ver01</x:v>
      </x:c>
      <x:c r="B20" s="2" t="str">
        <x:v>02B-002</x:v>
      </x:c>
      <x:c r="C20" s="19" t="str">
        <x:v>01</x:v>
      </x:c>
      <x:c r="D20" s="2" t="str">
        <x:v>new</x:v>
      </x:c>
      <x:c r="E20" s="9" t="n">
        <x:v>45902</x:v>
      </x:c>
      <x:c r="F20" s="16" t="str">
        <x:v>섬유염색공정에서 증기 전용 텐터기 도입과 텐터기 전용 열 공급을 통한 수용가의 화석연료 사용량 절감사업의 방법론</x:v>
      </x:c>
      <x:c r="G20" s="16" t="str">
        <x:v>https://ors.gir.go.kr/home/orme010/historyRead.do?methdSeq=438&amp;menuId=12</x:v>
      </x:c>
      <x:c r="H20" s="11" t="n">
        <x:v>1</x:v>
      </x:c>
      <x:c r="I20" s="11" t="n">
        <x:f>IF(E20&lt;='분석조건'!$B$5,1,0)</x:f>
        <x:v>1</x:v>
      </x:c>
      <x:c r="J20" s="11" t="n">
        <x:f>INDEX('방법론'!$L$7:$L$39,MATCH(B20,'방법론'!$A$7:$A$39,0))</x:f>
        <x:v>1</x:v>
      </x:c>
      <x:c r="K20" s="11" t="n">
        <x:f>I20*J20</x:f>
        <x:v>1</x:v>
      </x:c>
      <x:c r="L20" s="11" t="n">
        <x:f>YEAR(E20)</x:f>
        <x:v>2025</x:v>
      </x:c>
      <x:c r="M20" s="11" t="n">
        <x:f>IF(AND(K20=1,'분석조건'!$B$5-E20&lt;'분석조건'!$B$11),1,0)</x:f>
        <x:v>0</x:v>
      </x:c>
      <x:c r="N20" s="11" t="n">
        <x:f>IF(AND(K20=1,E20&gt;=DATE('분석조건'!$B$6,1,1),E20&lt;='분석조건'!$B$14),1,0)</x:f>
        <x:v>0</x:v>
      </x:c>
      <x:c r="O20" s="11" t="n">
        <x:f>IF(AND(K20=1,E20&gt;=DATE('분석조건'!$B$6-1,1,1),E20&lt;='분석조건'!$B$15),1,0)</x:f>
        <x:v>1</x:v>
      </x:c>
    </x:row>
    <x:row r="21" ht="78" customHeight="1">
      <x:c r="A21" s="2" t="str">
        <x:v>03A-001-Ver01</x:v>
      </x:c>
      <x:c r="B21" s="2" t="str">
        <x:v>03A-001</x:v>
      </x:c>
      <x:c r="C21" s="19" t="str">
        <x:v>01</x:v>
      </x:c>
      <x:c r="D21" s="2" t="str">
        <x:v>new</x:v>
      </x:c>
      <x:c r="E21" s="9" t="n">
        <x:v>42405</x:v>
      </x:c>
      <x:c r="F21" s="16" t="str">
        <x:v>미활용 열에너지 회수 및 이용 사업의 방법론</x:v>
      </x:c>
      <x:c r="G21" s="16" t="str">
        <x:v>https://ors.gir.go.kr/home/orme010/historyRead.do?methdSeq=40&amp;menuId=12</x:v>
      </x:c>
      <x:c r="H21" s="11" t="n">
        <x:v>1</x:v>
      </x:c>
      <x:c r="I21" s="11" t="n">
        <x:f>IF(E21&lt;='분석조건'!$B$5,1,0)</x:f>
        <x:v>1</x:v>
      </x:c>
      <x:c r="J21" s="11" t="n">
        <x:f>INDEX('방법론'!$L$7:$L$39,MATCH(B21,'방법론'!$A$7:$A$39,0))</x:f>
        <x:v>1</x:v>
      </x:c>
      <x:c r="K21" s="11" t="n">
        <x:f>I21*J21</x:f>
        <x:v>1</x:v>
      </x:c>
      <x:c r="L21" s="11" t="n">
        <x:f>YEAR(E21)</x:f>
        <x:v>2016</x:v>
      </x:c>
      <x:c r="M21" s="11" t="n">
        <x:f>IF(AND(K21=1,'분석조건'!$B$5-E21&lt;'분석조건'!$B$11),1,0)</x:f>
        <x:v>0</x:v>
      </x:c>
      <x:c r="N21" s="11" t="n">
        <x:f>IF(AND(K21=1,E21&gt;=DATE('분석조건'!$B$6,1,1),E21&lt;='분석조건'!$B$14),1,0)</x:f>
        <x:v>0</x:v>
      </x:c>
      <x:c r="O21" s="11" t="n">
        <x:f>IF(AND(K21=1,E21&gt;=DATE('분석조건'!$B$6-1,1,1),E21&lt;='분석조건'!$B$15),1,0)</x:f>
        <x:v>0</x:v>
      </x:c>
    </x:row>
    <x:row r="22" ht="78" customHeight="1">
      <x:c r="A22" s="2" t="str">
        <x:v>03A-002-Ver01</x:v>
      </x:c>
      <x:c r="B22" s="2" t="str">
        <x:v>03A-002</x:v>
      </x:c>
      <x:c r="C22" s="19" t="str">
        <x:v>01</x:v>
      </x:c>
      <x:c r="D22" s="2" t="str">
        <x:v>new</x:v>
      </x:c>
      <x:c r="E22" s="9" t="n">
        <x:v>42115</x:v>
      </x:c>
      <x:c r="F22" s="16" t="str">
        <x:v>연료 전환 사업의 방법론</x:v>
      </x:c>
      <x:c r="G22" s="16" t="str">
        <x:v>https://ors.gir.go.kr/home/orme010/historyRead.do?methdSeq=466&amp;menuId=12</x:v>
      </x:c>
      <x:c r="H22" s="11" t="n">
        <x:v>1</x:v>
      </x:c>
      <x:c r="I22" s="11" t="n">
        <x:f>IF(E22&lt;='분석조건'!$B$5,1,0)</x:f>
        <x:v>1</x:v>
      </x:c>
      <x:c r="J22" s="11" t="n">
        <x:f>INDEX('방법론'!$L$7:$L$39,MATCH(B22,'방법론'!$A$7:$A$39,0))</x:f>
        <x:v>1</x:v>
      </x:c>
      <x:c r="K22" s="11" t="n">
        <x:f>I22*J22</x:f>
        <x:v>1</x:v>
      </x:c>
      <x:c r="L22" s="11" t="n">
        <x:f>YEAR(E22)</x:f>
        <x:v>2015</x:v>
      </x:c>
      <x:c r="M22" s="11" t="n">
        <x:f>IF(AND(K22=1,'분석조건'!$B$5-E22&lt;'분석조건'!$B$11),1,0)</x:f>
        <x:v>0</x:v>
      </x:c>
      <x:c r="N22" s="11" t="n">
        <x:f>IF(AND(K22=1,E22&gt;=DATE('분석조건'!$B$6,1,1),E22&lt;='분석조건'!$B$14),1,0)</x:f>
        <x:v>0</x:v>
      </x:c>
      <x:c r="O22" s="11" t="n">
        <x:f>IF(AND(K22=1,E22&gt;=DATE('분석조건'!$B$6-1,1,1),E22&lt;='분석조건'!$B$15),1,0)</x:f>
        <x:v>0</x:v>
      </x:c>
    </x:row>
    <x:row r="23" ht="78" customHeight="1">
      <x:c r="A23" s="2" t="str">
        <x:v>03A-002-Ver02</x:v>
      </x:c>
      <x:c r="B23" s="2" t="str">
        <x:v>03A-002</x:v>
      </x:c>
      <x:c r="C23" s="19" t="str">
        <x:v>02</x:v>
      </x:c>
      <x:c r="D23" s="2" t="str">
        <x:v>revision</x:v>
      </x:c>
      <x:c r="E23" s="9" t="n">
        <x:v>44558</x:v>
      </x:c>
      <x:c r="F23" s="16" t="str">
        <x:v>연료 전환 사업의 방법론</x:v>
      </x:c>
      <x:c r="G23" s="16" t="str">
        <x:v>https://ors.gir.go.kr/home/orme010/historyRead.do?methdSeq=466&amp;menuId=12</x:v>
      </x:c>
      <x:c r="H23" s="11" t="n">
        <x:v>2</x:v>
      </x:c>
      <x:c r="I23" s="11" t="n">
        <x:f>IF(E23&lt;='분석조건'!$B$5,1,0)</x:f>
        <x:v>1</x:v>
      </x:c>
      <x:c r="J23" s="11" t="n">
        <x:f>INDEX('방법론'!$L$7:$L$39,MATCH(B23,'방법론'!$A$7:$A$39,0))</x:f>
        <x:v>1</x:v>
      </x:c>
      <x:c r="K23" s="11" t="n">
        <x:f>I23*J23</x:f>
        <x:v>1</x:v>
      </x:c>
      <x:c r="L23" s="11" t="n">
        <x:f>YEAR(E23)</x:f>
        <x:v>2021</x:v>
      </x:c>
      <x:c r="M23" s="11" t="n">
        <x:f>IF(AND(K23=1,'분석조건'!$B$5-E23&lt;'분석조건'!$B$11),1,0)</x:f>
        <x:v>0</x:v>
      </x:c>
      <x:c r="N23" s="11" t="n">
        <x:f>IF(AND(K23=1,E23&gt;=DATE('분석조건'!$B$6,1,1),E23&lt;='분석조건'!$B$14),1,0)</x:f>
        <x:v>0</x:v>
      </x:c>
      <x:c r="O23" s="11" t="n">
        <x:f>IF(AND(K23=1,E23&gt;=DATE('분석조건'!$B$6-1,1,1),E23&lt;='분석조건'!$B$15),1,0)</x:f>
        <x:v>0</x:v>
      </x:c>
    </x:row>
    <x:row r="24" ht="78" customHeight="1">
      <x:c r="A24" s="2" t="str">
        <x:v>03A-002-Ver03</x:v>
      </x:c>
      <x:c r="B24" s="2" t="str">
        <x:v>03A-002</x:v>
      </x:c>
      <x:c r="C24" s="19" t="str">
        <x:v>03</x:v>
      </x:c>
      <x:c r="D24" s="2" t="str">
        <x:v>revision</x:v>
      </x:c>
      <x:c r="E24" s="9" t="n">
        <x:v>45447</x:v>
      </x:c>
      <x:c r="F24" s="16" t="str">
        <x:v>연료 전환 사업의 방법론</x:v>
      </x:c>
      <x:c r="G24" s="16" t="str">
        <x:v>https://ors.gir.go.kr/home/orme010/historyRead.do?methdSeq=466&amp;menuId=12</x:v>
      </x:c>
      <x:c r="H24" s="11" t="n">
        <x:v>3</x:v>
      </x:c>
      <x:c r="I24" s="11" t="n">
        <x:f>IF(E24&lt;='분석조건'!$B$5,1,0)</x:f>
        <x:v>1</x:v>
      </x:c>
      <x:c r="J24" s="11" t="n">
        <x:f>INDEX('방법론'!$L$7:$L$39,MATCH(B24,'방법론'!$A$7:$A$39,0))</x:f>
        <x:v>1</x:v>
      </x:c>
      <x:c r="K24" s="11" t="n">
        <x:f>I24*J24</x:f>
        <x:v>1</x:v>
      </x:c>
      <x:c r="L24" s="11" t="n">
        <x:f>YEAR(E24)</x:f>
        <x:v>2024</x:v>
      </x:c>
      <x:c r="M24" s="11" t="n">
        <x:f>IF(AND(K24=1,'분석조건'!$B$5-E24&lt;'분석조건'!$B$11),1,0)</x:f>
        <x:v>0</x:v>
      </x:c>
      <x:c r="N24" s="11" t="n">
        <x:f>IF(AND(K24=1,E24&gt;=DATE('분석조건'!$B$6,1,1),E24&lt;='분석조건'!$B$14),1,0)</x:f>
        <x:v>0</x:v>
      </x:c>
      <x:c r="O24" s="11" t="n">
        <x:f>IF(AND(K24=1,E24&gt;=DATE('분석조건'!$B$6-1,1,1),E24&lt;='분석조건'!$B$15),1,0)</x:f>
        <x:v>0</x:v>
      </x:c>
    </x:row>
    <x:row r="25" ht="78" customHeight="1">
      <x:c r="A25" s="2" t="str">
        <x:v>03A-003-Ver01</x:v>
      </x:c>
      <x:c r="B25" s="2" t="str">
        <x:v>03A-003</x:v>
      </x:c>
      <x:c r="C25" s="19" t="str">
        <x:v>01</x:v>
      </x:c>
      <x:c r="D25" s="2" t="str">
        <x:v>new</x:v>
      </x:c>
      <x:c r="E25" s="9" t="n">
        <x:v>42115</x:v>
      </x:c>
      <x:c r="F25" s="16" t="str">
        <x:v>전력절감설비 설치사업의 방법론</x:v>
      </x:c>
      <x:c r="G25" s="16" t="str">
        <x:v>https://ors.gir.go.kr/home/orme010/historyRead.do?methdSeq=22&amp;menuId=12</x:v>
      </x:c>
      <x:c r="H25" s="11" t="n">
        <x:v>1</x:v>
      </x:c>
      <x:c r="I25" s="11" t="n">
        <x:f>IF(E25&lt;='분석조건'!$B$5,1,0)</x:f>
        <x:v>1</x:v>
      </x:c>
      <x:c r="J25" s="11" t="n">
        <x:f>INDEX('방법론'!$L$7:$L$39,MATCH(B25,'방법론'!$A$7:$A$39,0))</x:f>
        <x:v>1</x:v>
      </x:c>
      <x:c r="K25" s="11" t="n">
        <x:f>I25*J25</x:f>
        <x:v>1</x:v>
      </x:c>
      <x:c r="L25" s="11" t="n">
        <x:f>YEAR(E25)</x:f>
        <x:v>2015</x:v>
      </x:c>
      <x:c r="M25" s="11" t="n">
        <x:f>IF(AND(K25=1,'분석조건'!$B$5-E25&lt;'분석조건'!$B$11),1,0)</x:f>
        <x:v>0</x:v>
      </x:c>
      <x:c r="N25" s="11" t="n">
        <x:f>IF(AND(K25=1,E25&gt;=DATE('분석조건'!$B$6,1,1),E25&lt;='분석조건'!$B$14),1,0)</x:f>
        <x:v>0</x:v>
      </x:c>
      <x:c r="O25" s="11" t="n">
        <x:f>IF(AND(K25=1,E25&gt;=DATE('분석조건'!$B$6-1,1,1),E25&lt;='분석조건'!$B$15),1,0)</x:f>
        <x:v>0</x:v>
      </x:c>
    </x:row>
    <x:row r="26" ht="78" customHeight="1">
      <x:c r="A26" s="2" t="str">
        <x:v>03A-004-Ver01</x:v>
      </x:c>
      <x:c r="B26" s="2" t="str">
        <x:v>03A-004</x:v>
      </x:c>
      <x:c r="C26" s="19" t="str">
        <x:v>01</x:v>
      </x:c>
      <x:c r="D26" s="2" t="str">
        <x:v>new</x:v>
      </x:c>
      <x:c r="E26" s="9" t="n">
        <x:v>42115</x:v>
      </x:c>
      <x:c r="F26" s="16" t="str">
        <x:v>고효율 설비 교체 사업의 방법론</x:v>
      </x:c>
      <x:c r="G26" s="16" t="str">
        <x:v>https://ors.gir.go.kr/home/orme010/historyRead.do?methdSeq=23&amp;menuId=12</x:v>
      </x:c>
      <x:c r="H26" s="11" t="n">
        <x:v>1</x:v>
      </x:c>
      <x:c r="I26" s="11" t="n">
        <x:f>IF(E26&lt;='분석조건'!$B$5,1,0)</x:f>
        <x:v>1</x:v>
      </x:c>
      <x:c r="J26" s="11" t="n">
        <x:f>INDEX('방법론'!$L$7:$L$39,MATCH(B26,'방법론'!$A$7:$A$39,0))</x:f>
        <x:v>1</x:v>
      </x:c>
      <x:c r="K26" s="11" t="n">
        <x:f>I26*J26</x:f>
        <x:v>1</x:v>
      </x:c>
      <x:c r="L26" s="11" t="n">
        <x:f>YEAR(E26)</x:f>
        <x:v>2015</x:v>
      </x:c>
      <x:c r="M26" s="11" t="n">
        <x:f>IF(AND(K26=1,'분석조건'!$B$5-E26&lt;'분석조건'!$B$11),1,0)</x:f>
        <x:v>0</x:v>
      </x:c>
      <x:c r="N26" s="11" t="n">
        <x:f>IF(AND(K26=1,E26&gt;=DATE('분석조건'!$B$6,1,1),E26&lt;='분석조건'!$B$14),1,0)</x:f>
        <x:v>0</x:v>
      </x:c>
      <x:c r="O26" s="11" t="n">
        <x:f>IF(AND(K26=1,E26&gt;=DATE('분석조건'!$B$6-1,1,1),E26&lt;='분석조건'!$B$15),1,0)</x:f>
        <x:v>0</x:v>
      </x:c>
    </x:row>
    <x:row r="27" ht="78" customHeight="1">
      <x:c r="A27" s="2" t="str">
        <x:v>03A-006-Ver01</x:v>
      </x:c>
      <x:c r="B27" s="2" t="str">
        <x:v>03A-006</x:v>
      </x:c>
      <x:c r="C27" s="19" t="str">
        <x:v>01</x:v>
      </x:c>
      <x:c r="D27" s="2" t="str">
        <x:v>new</x:v>
      </x:c>
      <x:c r="E27" s="9" t="n">
        <x:v>42115</x:v>
      </x:c>
      <x:c r="F27" s="16" t="str">
        <x:v>고효율 도로조명 설치 사업의 방법론</x:v>
      </x:c>
      <x:c r="G27" s="16" t="str">
        <x:v>https://ors.gir.go.kr/home/orme010/historyRead.do?methdSeq=25&amp;menuId=12</x:v>
      </x:c>
      <x:c r="H27" s="11" t="n">
        <x:v>1</x:v>
      </x:c>
      <x:c r="I27" s="11" t="n">
        <x:f>IF(E27&lt;='분석조건'!$B$5,1,0)</x:f>
        <x:v>1</x:v>
      </x:c>
      <x:c r="J27" s="11" t="n">
        <x:f>INDEX('방법론'!$L$7:$L$39,MATCH(B27,'방법론'!$A$7:$A$39,0))</x:f>
        <x:v>1</x:v>
      </x:c>
      <x:c r="K27" s="11" t="n">
        <x:f>I27*J27</x:f>
        <x:v>1</x:v>
      </x:c>
      <x:c r="L27" s="11" t="n">
        <x:f>YEAR(E27)</x:f>
        <x:v>2015</x:v>
      </x:c>
      <x:c r="M27" s="11" t="n">
        <x:f>IF(AND(K27=1,'분석조건'!$B$5-E27&lt;'분석조건'!$B$11),1,0)</x:f>
        <x:v>0</x:v>
      </x:c>
      <x:c r="N27" s="11" t="n">
        <x:f>IF(AND(K27=1,E27&gt;=DATE('분석조건'!$B$6,1,1),E27&lt;='분석조건'!$B$14),1,0)</x:f>
        <x:v>0</x:v>
      </x:c>
      <x:c r="O27" s="11" t="n">
        <x:f>IF(AND(K27=1,E27&gt;=DATE('분석조건'!$B$6-1,1,1),E27&lt;='분석조건'!$B$15),1,0)</x:f>
        <x:v>0</x:v>
      </x:c>
    </x:row>
    <x:row r="28" ht="78" customHeight="1">
      <x:c r="A28" s="2" t="str">
        <x:v>03A-008-Ver01</x:v>
      </x:c>
      <x:c r="B28" s="2" t="str">
        <x:v>03A-008</x:v>
      </x:c>
      <x:c r="C28" s="19" t="str">
        <x:v>01</x:v>
      </x:c>
      <x:c r="D28" s="2" t="str">
        <x:v>new</x:v>
      </x:c>
      <x:c r="E28" s="9" t="n">
        <x:v>42405</x:v>
      </x:c>
      <x:c r="F28" s="16" t="str">
        <x:v>미활용 열에너지 회수를 통한 전력생산 및 계통연게 사업의 방법론</x:v>
      </x:c>
      <x:c r="G28" s="16" t="str">
        <x:v>https://ors.gir.go.kr/home/orme010/historyRead.do?methdSeq=42&amp;menuId=12</x:v>
      </x:c>
      <x:c r="H28" s="11" t="n">
        <x:v>1</x:v>
      </x:c>
      <x:c r="I28" s="11" t="n">
        <x:f>IF(E28&lt;='분석조건'!$B$5,1,0)</x:f>
        <x:v>1</x:v>
      </x:c>
      <x:c r="J28" s="11" t="n">
        <x:f>INDEX('방법론'!$L$7:$L$39,MATCH(B28,'방법론'!$A$7:$A$39,0))</x:f>
        <x:v>1</x:v>
      </x:c>
      <x:c r="K28" s="11" t="n">
        <x:f>I28*J28</x:f>
        <x:v>1</x:v>
      </x:c>
      <x:c r="L28" s="11" t="n">
        <x:f>YEAR(E28)</x:f>
        <x:v>2016</x:v>
      </x:c>
      <x:c r="M28" s="11" t="n">
        <x:f>IF(AND(K28=1,'분석조건'!$B$5-E28&lt;'분석조건'!$B$11),1,0)</x:f>
        <x:v>0</x:v>
      </x:c>
      <x:c r="N28" s="11" t="n">
        <x:f>IF(AND(K28=1,E28&gt;=DATE('분석조건'!$B$6,1,1),E28&lt;='분석조건'!$B$14),1,0)</x:f>
        <x:v>0</x:v>
      </x:c>
      <x:c r="O28" s="11" t="n">
        <x:f>IF(AND(K28=1,E28&gt;=DATE('분석조건'!$B$6-1,1,1),E28&lt;='분석조건'!$B$15),1,0)</x:f>
        <x:v>0</x:v>
      </x:c>
    </x:row>
    <x:row r="29" ht="78" customHeight="1">
      <x:c r="A29" s="2" t="str">
        <x:v>03A-013-Ver01</x:v>
      </x:c>
      <x:c r="B29" s="2" t="str">
        <x:v>03A-013</x:v>
      </x:c>
      <x:c r="C29" s="19" t="str">
        <x:v>01</x:v>
      </x:c>
      <x:c r="D29" s="2" t="str">
        <x:v>new</x:v>
      </x:c>
      <x:c r="E29" s="9" t="n">
        <x:v>43081</x:v>
      </x:c>
      <x:c r="F29" s="16" t="str">
        <x:v>주거용 시설의 심야 전기보일러에서 축열식 히트펌프 보일러로 교체 사업의 방법론</x:v>
      </x:c>
      <x:c r="G29" s="16" t="str">
        <x:v>https://ors.gir.go.kr/home/orme010/historyRead.do?methdSeq=50&amp;menuId=12</x:v>
      </x:c>
      <x:c r="H29" s="11" t="n">
        <x:v>1</x:v>
      </x:c>
      <x:c r="I29" s="11" t="n">
        <x:f>IF(E29&lt;='분석조건'!$B$5,1,0)</x:f>
        <x:v>1</x:v>
      </x:c>
      <x:c r="J29" s="11" t="n">
        <x:f>INDEX('방법론'!$L$7:$L$39,MATCH(B29,'방법론'!$A$7:$A$39,0))</x:f>
        <x:v>1</x:v>
      </x:c>
      <x:c r="K29" s="11" t="n">
        <x:f>I29*J29</x:f>
        <x:v>1</x:v>
      </x:c>
      <x:c r="L29" s="11" t="n">
        <x:f>YEAR(E29)</x:f>
        <x:v>2017</x:v>
      </x:c>
      <x:c r="M29" s="11" t="n">
        <x:f>IF(AND(K29=1,'분석조건'!$B$5-E29&lt;'분석조건'!$B$11),1,0)</x:f>
        <x:v>0</x:v>
      </x:c>
      <x:c r="N29" s="11" t="n">
        <x:f>IF(AND(K29=1,E29&gt;=DATE('분석조건'!$B$6,1,1),E29&lt;='분석조건'!$B$14),1,0)</x:f>
        <x:v>0</x:v>
      </x:c>
      <x:c r="O29" s="11" t="n">
        <x:f>IF(AND(K29=1,E29&gt;=DATE('분석조건'!$B$6-1,1,1),E29&lt;='분석조건'!$B$15),1,0)</x:f>
        <x:v>0</x:v>
      </x:c>
    </x:row>
    <x:row r="30" ht="78" customHeight="1">
      <x:c r="A30" s="2" t="str">
        <x:v>03A-016-Ver01</x:v>
      </x:c>
      <x:c r="B30" s="2" t="str">
        <x:v>03A-016</x:v>
      </x:c>
      <x:c r="C30" s="19" t="str">
        <x:v>01</x:v>
      </x:c>
      <x:c r="D30" s="2" t="str">
        <x:v>new</x:v>
      </x:c>
      <x:c r="E30" s="9" t="n">
        <x:v>43886</x:v>
      </x:c>
      <x:c r="F30" s="16" t="str">
        <x:v>LPG집단공급시설 설치를 통한 연료 전환 사업의 방법론</x:v>
      </x:c>
      <x:c r="G30" s="16" t="str">
        <x:v>https://ors.gir.go.kr/home/orme010/historyRead.do?methdSeq=337&amp;menuId=12</x:v>
      </x:c>
      <x:c r="H30" s="11" t="n">
        <x:v>1</x:v>
      </x:c>
      <x:c r="I30" s="11" t="n">
        <x:f>IF(E30&lt;='분석조건'!$B$5,1,0)</x:f>
        <x:v>1</x:v>
      </x:c>
      <x:c r="J30" s="11" t="n">
        <x:f>INDEX('방법론'!$L$7:$L$39,MATCH(B30,'방법론'!$A$7:$A$39,0))</x:f>
        <x:v>1</x:v>
      </x:c>
      <x:c r="K30" s="11" t="n">
        <x:f>I30*J30</x:f>
        <x:v>1</x:v>
      </x:c>
      <x:c r="L30" s="11" t="n">
        <x:f>YEAR(E30)</x:f>
        <x:v>2020</x:v>
      </x:c>
      <x:c r="M30" s="11" t="n">
        <x:f>IF(AND(K30=1,'분석조건'!$B$5-E30&lt;'분석조건'!$B$11),1,0)</x:f>
        <x:v>0</x:v>
      </x:c>
      <x:c r="N30" s="11" t="n">
        <x:f>IF(AND(K30=1,E30&gt;=DATE('분석조건'!$B$6,1,1),E30&lt;='분석조건'!$B$14),1,0)</x:f>
        <x:v>0</x:v>
      </x:c>
      <x:c r="O30" s="11" t="n">
        <x:f>IF(AND(K30=1,E30&gt;=DATE('분석조건'!$B$6-1,1,1),E30&lt;='분석조건'!$B$15),1,0)</x:f>
        <x:v>0</x:v>
      </x:c>
    </x:row>
    <x:row r="31" ht="78" customHeight="1">
      <x:c r="A31" s="2" t="str">
        <x:v>03A-018-Ver01</x:v>
      </x:c>
      <x:c r="B31" s="2" t="str">
        <x:v>03A-018</x:v>
      </x:c>
      <x:c r="C31" s="19" t="str">
        <x:v>01</x:v>
      </x:c>
      <x:c r="D31" s="2" t="str">
        <x:v>new</x:v>
      </x:c>
      <x:c r="E31" s="9" t="n">
        <x:v>44120</x:v>
      </x:c>
      <x:c r="F31" s="16" t="str">
        <x:v>Single RAN 설비를 도입하여 legacy 전기통신설비를 대체하는 사업의 방법론</x:v>
      </x:c>
      <x:c r="G31" s="16" t="str">
        <x:v>https://ors.gir.go.kr/home/orme010/historyRead.do?methdSeq=333&amp;menuId=12</x:v>
      </x:c>
      <x:c r="H31" s="11" t="n">
        <x:v>1</x:v>
      </x:c>
      <x:c r="I31" s="11" t="n">
        <x:f>IF(E31&lt;='분석조건'!$B$5,1,0)</x:f>
        <x:v>1</x:v>
      </x:c>
      <x:c r="J31" s="11" t="n">
        <x:f>INDEX('방법론'!$L$7:$L$39,MATCH(B31,'방법론'!$A$7:$A$39,0))</x:f>
        <x:v>1</x:v>
      </x:c>
      <x:c r="K31" s="11" t="n">
        <x:f>I31*J31</x:f>
        <x:v>1</x:v>
      </x:c>
      <x:c r="L31" s="11" t="n">
        <x:f>YEAR(E31)</x:f>
        <x:v>2020</x:v>
      </x:c>
      <x:c r="M31" s="11" t="n">
        <x:f>IF(AND(K31=1,'분석조건'!$B$5-E31&lt;'분석조건'!$B$11),1,0)</x:f>
        <x:v>0</x:v>
      </x:c>
      <x:c r="N31" s="11" t="n">
        <x:f>IF(AND(K31=1,E31&gt;=DATE('분석조건'!$B$6,1,1),E31&lt;='분석조건'!$B$14),1,0)</x:f>
        <x:v>0</x:v>
      </x:c>
      <x:c r="O31" s="11" t="n">
        <x:f>IF(AND(K31=1,E31&gt;=DATE('분석조건'!$B$6-1,1,1),E31&lt;='분석조건'!$B$15),1,0)</x:f>
        <x:v>0</x:v>
      </x:c>
    </x:row>
    <x:row r="32" ht="78" customHeight="1">
      <x:c r="A32" s="2" t="str">
        <x:v>03A-027-Ver01</x:v>
      </x:c>
      <x:c r="B32" s="2" t="str">
        <x:v>03A-027</x:v>
      </x:c>
      <x:c r="C32" s="19" t="str">
        <x:v>01</x:v>
      </x:c>
      <x:c r="D32" s="2" t="str">
        <x:v>new</x:v>
      </x:c>
      <x:c r="E32" s="9" t="n">
        <x:v>45359</x:v>
      </x:c>
      <x:c r="F32" s="16" t="str">
        <x:v>미활용 LNG 기화 냉열 활용을 통한 전력 및 또는 화석연료 사용 절감 사업의 방법론</x:v>
      </x:c>
      <x:c r="G32" s="16" t="str">
        <x:v>https://ors.gir.go.kr/home/orme010/historyRead.do?methdSeq=440&amp;menuId=12</x:v>
      </x:c>
      <x:c r="H32" s="11" t="n">
        <x:v>1</x:v>
      </x:c>
      <x:c r="I32" s="11" t="n">
        <x:f>IF(E32&lt;='분석조건'!$B$5,1,0)</x:f>
        <x:v>1</x:v>
      </x:c>
      <x:c r="J32" s="11" t="n">
        <x:f>INDEX('방법론'!$L$7:$L$39,MATCH(B32,'방법론'!$A$7:$A$39,0))</x:f>
        <x:v>1</x:v>
      </x:c>
      <x:c r="K32" s="11" t="n">
        <x:f>I32*J32</x:f>
        <x:v>1</x:v>
      </x:c>
      <x:c r="L32" s="11" t="n">
        <x:f>YEAR(E32)</x:f>
        <x:v>2024</x:v>
      </x:c>
      <x:c r="M32" s="11" t="n">
        <x:f>IF(AND(K32=1,'분석조건'!$B$5-E32&lt;'분석조건'!$B$11),1,0)</x:f>
        <x:v>0</x:v>
      </x:c>
      <x:c r="N32" s="11" t="n">
        <x:f>IF(AND(K32=1,E32&gt;=DATE('분석조건'!$B$6,1,1),E32&lt;='분석조건'!$B$14),1,0)</x:f>
        <x:v>0</x:v>
      </x:c>
      <x:c r="O32" s="11" t="n">
        <x:f>IF(AND(K32=1,E32&gt;=DATE('분석조건'!$B$6-1,1,1),E32&lt;='분석조건'!$B$15),1,0)</x:f>
        <x:v>0</x:v>
      </x:c>
    </x:row>
    <x:row r="33" ht="78" customHeight="1">
      <x:c r="A33" s="2" t="str">
        <x:v>03A-030-Ver01</x:v>
      </x:c>
      <x:c r="B33" s="2" t="str">
        <x:v>03A-030</x:v>
      </x:c>
      <x:c r="C33" s="19" t="str">
        <x:v>01</x:v>
      </x:c>
      <x:c r="D33" s="2" t="str">
        <x:v>new</x:v>
      </x:c>
      <x:c r="E33" s="9" t="n">
        <x:v>45447</x:v>
      </x:c>
      <x:c r="F33" s="16" t="str">
        <x:v>미활용 열에너지 회수 및 이용 또는  계통연계 사업의 방법론</x:v>
      </x:c>
      <x:c r="G33" s="16" t="str">
        <x:v>https://ors.gir.go.kr/home/orme010/historyRead.do?methdSeq=531&amp;menuId=12</x:v>
      </x:c>
      <x:c r="H33" s="11" t="n">
        <x:v>1</x:v>
      </x:c>
      <x:c r="I33" s="11" t="n">
        <x:f>IF(E33&lt;='분석조건'!$B$5,1,0)</x:f>
        <x:v>1</x:v>
      </x:c>
      <x:c r="J33" s="11" t="n">
        <x:f>INDEX('방법론'!$L$7:$L$39,MATCH(B33,'방법론'!$A$7:$A$39,0))</x:f>
        <x:v>1</x:v>
      </x:c>
      <x:c r="K33" s="11" t="n">
        <x:f>I33*J33</x:f>
        <x:v>1</x:v>
      </x:c>
      <x:c r="L33" s="11" t="n">
        <x:f>YEAR(E33)</x:f>
        <x:v>2024</x:v>
      </x:c>
      <x:c r="M33" s="11" t="n">
        <x:f>IF(AND(K33=1,'분석조건'!$B$5-E33&lt;'분석조건'!$B$11),1,0)</x:f>
        <x:v>0</x:v>
      </x:c>
      <x:c r="N33" s="11" t="n">
        <x:f>IF(AND(K33=1,E33&gt;=DATE('분석조건'!$B$6,1,1),E33&lt;='분석조건'!$B$14),1,0)</x:f>
        <x:v>0</x:v>
      </x:c>
      <x:c r="O33" s="11" t="n">
        <x:f>IF(AND(K33=1,E33&gt;=DATE('분석조건'!$B$6-1,1,1),E33&lt;='분석조건'!$B$15),1,0)</x:f>
        <x:v>0</x:v>
      </x:c>
    </x:row>
    <x:row r="34" ht="78" customHeight="1">
      <x:c r="A34" s="2" t="str">
        <x:v>03A-030-Ver02</x:v>
      </x:c>
      <x:c r="B34" s="2" t="str">
        <x:v>03A-030</x:v>
      </x:c>
      <x:c r="C34" s="19" t="str">
        <x:v>02</x:v>
      </x:c>
      <x:c r="D34" s="2" t="str">
        <x:v>revision</x:v>
      </x:c>
      <x:c r="E34" s="9" t="n">
        <x:v>45993</x:v>
      </x:c>
      <x:c r="F34" s="16" t="str">
        <x:v>미활용 열에너지 회수 및 이용 또는 계통연계 사업의 방법론</x:v>
      </x:c>
      <x:c r="G34" s="16" t="str">
        <x:v>https://ors.gir.go.kr/home/orme010/historyRead.do?methdSeq=531&amp;menuId=12</x:v>
      </x:c>
      <x:c r="H34" s="11" t="n">
        <x:v>2</x:v>
      </x:c>
      <x:c r="I34" s="11" t="n">
        <x:f>IF(E34&lt;='분석조건'!$B$5,1,0)</x:f>
        <x:v>1</x:v>
      </x:c>
      <x:c r="J34" s="11" t="n">
        <x:f>INDEX('방법론'!$L$7:$L$39,MATCH(B34,'방법론'!$A$7:$A$39,0))</x:f>
        <x:v>1</x:v>
      </x:c>
      <x:c r="K34" s="11" t="n">
        <x:f>I34*J34</x:f>
        <x:v>1</x:v>
      </x:c>
      <x:c r="L34" s="11" t="n">
        <x:f>YEAR(E34)</x:f>
        <x:v>2025</x:v>
      </x:c>
      <x:c r="M34" s="11" t="n">
        <x:f>IF(AND(K34=1,'분석조건'!$B$5-E34&lt;'분석조건'!$B$11),1,0)</x:f>
        <x:v>1</x:v>
      </x:c>
      <x:c r="N34" s="11" t="n">
        <x:f>IF(AND(K34=1,E34&gt;=DATE('분석조건'!$B$6,1,1),E34&lt;='분석조건'!$B$14),1,0)</x:f>
        <x:v>0</x:v>
      </x:c>
      <x:c r="O34" s="11" t="n">
        <x:f>IF(AND(K34=1,E34&gt;=DATE('분석조건'!$B$6-1,1,1),E34&lt;='분석조건'!$B$15),1,0)</x:f>
        <x:v>0</x:v>
      </x:c>
    </x:row>
    <x:row r="35" ht="78" customHeight="1">
      <x:c r="A35" s="2" t="str">
        <x:v>03A-033-Ver01</x:v>
      </x:c>
      <x:c r="B35" s="2" t="str">
        <x:v>03A-033</x:v>
      </x:c>
      <x:c r="C35" s="19" t="str">
        <x:v>01</x:v>
      </x:c>
      <x:c r="D35" s="2" t="str">
        <x:v>new</x:v>
      </x:c>
      <x:c r="E35" s="9" t="n">
        <x:v>45721</x:v>
      </x:c>
      <x:c r="F35" s="16" t="str">
        <x:v>공동 통신망 기술 적용에 따른 온실가스 감축사업의 방법론</x:v>
      </x:c>
      <x:c r="G35" s="16" t="str">
        <x:v>https://ors.gir.go.kr/home/orme010/historyRead.do?methdSeq=436&amp;menuId=12</x:v>
      </x:c>
      <x:c r="H35" s="11" t="n">
        <x:v>1</x:v>
      </x:c>
      <x:c r="I35" s="11" t="n">
        <x:f>IF(E35&lt;='분석조건'!$B$5,1,0)</x:f>
        <x:v>1</x:v>
      </x:c>
      <x:c r="J35" s="11" t="n">
        <x:f>INDEX('방법론'!$L$7:$L$39,MATCH(B35,'방법론'!$A$7:$A$39,0))</x:f>
        <x:v>1</x:v>
      </x:c>
      <x:c r="K35" s="11" t="n">
        <x:f>I35*J35</x:f>
        <x:v>1</x:v>
      </x:c>
      <x:c r="L35" s="11" t="n">
        <x:f>YEAR(E35)</x:f>
        <x:v>2025</x:v>
      </x:c>
      <x:c r="M35" s="11" t="n">
        <x:f>IF(AND(K35=1,'분석조건'!$B$5-E35&lt;'분석조건'!$B$11),1,0)</x:f>
        <x:v>0</x:v>
      </x:c>
      <x:c r="N35" s="11" t="n">
        <x:f>IF(AND(K35=1,E35&gt;=DATE('분석조건'!$B$6,1,1),E35&lt;='분석조건'!$B$14),1,0)</x:f>
        <x:v>0</x:v>
      </x:c>
      <x:c r="O35" s="11" t="n">
        <x:f>IF(AND(K35=1,E35&gt;=DATE('분석조건'!$B$6-1,1,1),E35&lt;='분석조건'!$B$15),1,0)</x:f>
        <x:v>1</x:v>
      </x:c>
    </x:row>
    <x:row r="36" ht="78" customHeight="1">
      <x:c r="A36" s="2" t="str">
        <x:v>04A-001-Ver01</x:v>
      </x:c>
      <x:c r="B36" s="2" t="str">
        <x:v>04A-001</x:v>
      </x:c>
      <x:c r="C36" s="19" t="str">
        <x:v>01</x:v>
      </x:c>
      <x:c r="D36" s="2" t="str">
        <x:v>new</x:v>
      </x:c>
      <x:c r="E36" s="9" t="n">
        <x:v>44908</x:v>
      </x:c>
      <x:c r="F36" s="16" t="str">
        <x:v>혼합시멘트 생산에서 원료의 부분적인 전환 및 혼합재 비율 증가를 통한 온실가스 감축</x:v>
      </x:c>
      <x:c r="G36" s="16" t="str">
        <x:v>https://ors.gir.go.kr/home/orme010/historyRead.do?methdSeq=330&amp;menuId=12</x:v>
      </x:c>
      <x:c r="H36" s="11" t="n">
        <x:v>1</x:v>
      </x:c>
      <x:c r="I36" s="11" t="n">
        <x:f>IF(E36&lt;='분석조건'!$B$5,1,0)</x:f>
        <x:v>1</x:v>
      </x:c>
      <x:c r="J36" s="11" t="n">
        <x:f>INDEX('방법론'!$L$7:$L$39,MATCH(B36,'방법론'!$A$7:$A$39,0))</x:f>
        <x:v>1</x:v>
      </x:c>
      <x:c r="K36" s="11" t="n">
        <x:f>I36*J36</x:f>
        <x:v>1</x:v>
      </x:c>
      <x:c r="L36" s="11" t="n">
        <x:f>YEAR(E36)</x:f>
        <x:v>2022</x:v>
      </x:c>
      <x:c r="M36" s="11" t="n">
        <x:f>IF(AND(K36=1,'분석조건'!$B$5-E36&lt;'분석조건'!$B$11),1,0)</x:f>
        <x:v>0</x:v>
      </x:c>
      <x:c r="N36" s="11" t="n">
        <x:f>IF(AND(K36=1,E36&gt;=DATE('분석조건'!$B$6,1,1),E36&lt;='분석조건'!$B$14),1,0)</x:f>
        <x:v>0</x:v>
      </x:c>
      <x:c r="O36" s="11" t="n">
        <x:f>IF(AND(K36=1,E36&gt;=DATE('분석조건'!$B$6-1,1,1),E36&lt;='분석조건'!$B$15),1,0)</x:f>
        <x:v>0</x:v>
      </x:c>
    </x:row>
    <x:row r="37" ht="78" customHeight="1">
      <x:c r="A37" s="2" t="str">
        <x:v>04E-001-Ver01</x:v>
      </x:c>
      <x:c r="B37" s="2" t="str">
        <x:v>04E-001</x:v>
      </x:c>
      <x:c r="C37" s="19" t="str">
        <x:v>01</x:v>
      </x:c>
      <x:c r="D37" s="2" t="str">
        <x:v>new</x:v>
      </x:c>
      <x:c r="E37" s="9" t="n">
        <x:v>44908</x:v>
      </x:c>
      <x:c r="F37" s="16" t="str">
        <x:v>제지공정에서 침강성탄산칼슘 제조과정의 미활용 CO2 이용과 에너지절감 사업의 방법론</x:v>
      </x:c>
      <x:c r="G37" s="16" t="str">
        <x:v>https://ors.gir.go.kr/home/orme010/historyRead.do?methdSeq=369&amp;menuId=12</x:v>
      </x:c>
      <x:c r="H37" s="11" t="n">
        <x:v>1</x:v>
      </x:c>
      <x:c r="I37" s="11" t="n">
        <x:f>IF(E37&lt;='분석조건'!$B$5,1,0)</x:f>
        <x:v>1</x:v>
      </x:c>
      <x:c r="J37" s="11" t="n">
        <x:f>INDEX('방법론'!$L$7:$L$39,MATCH(B37,'방법론'!$A$7:$A$39,0))</x:f>
        <x:v>1</x:v>
      </x:c>
      <x:c r="K37" s="11" t="n">
        <x:f>I37*J37</x:f>
        <x:v>1</x:v>
      </x:c>
      <x:c r="L37" s="11" t="n">
        <x:f>YEAR(E37)</x:f>
        <x:v>2022</x:v>
      </x:c>
      <x:c r="M37" s="11" t="n">
        <x:f>IF(AND(K37=1,'분석조건'!$B$5-E37&lt;'분석조건'!$B$11),1,0)</x:f>
        <x:v>0</x:v>
      </x:c>
      <x:c r="N37" s="11" t="n">
        <x:f>IF(AND(K37=1,E37&gt;=DATE('분석조건'!$B$6,1,1),E37&lt;='분석조건'!$B$14),1,0)</x:f>
        <x:v>0</x:v>
      </x:c>
      <x:c r="O37" s="11" t="n">
        <x:f>IF(AND(K37=1,E37&gt;=DATE('분석조건'!$B$6-1,1,1),E37&lt;='분석조건'!$B$15),1,0)</x:f>
        <x:v>0</x:v>
      </x:c>
    </x:row>
    <x:row r="38" ht="78" customHeight="1">
      <x:c r="A38" s="2" t="str">
        <x:v>05A-001-Ver01</x:v>
      </x:c>
      <x:c r="B38" s="2" t="str">
        <x:v>05A-001</x:v>
      </x:c>
      <x:c r="C38" s="19" t="str">
        <x:v>01</x:v>
      </x:c>
      <x:c r="D38" s="2" t="str">
        <x:v>new</x:v>
      </x:c>
      <x:c r="E38" s="9" t="n">
        <x:v>44120</x:v>
      </x:c>
      <x:c r="F38" s="16" t="str">
        <x:v>부생수소 활용을 통한 수소제조공정 대체사업의 방법론</x:v>
      </x:c>
      <x:c r="G38" s="16" t="str">
        <x:v>https://ors.gir.go.kr/home/orme010/historyRead.do?methdSeq=325&amp;menuId=12</x:v>
      </x:c>
      <x:c r="H38" s="11" t="n">
        <x:v>1</x:v>
      </x:c>
      <x:c r="I38" s="11" t="n">
        <x:f>IF(E38&lt;='분석조건'!$B$5,1,0)</x:f>
        <x:v>1</x:v>
      </x:c>
      <x:c r="J38" s="11" t="n">
        <x:f>INDEX('방법론'!$L$7:$L$39,MATCH(B38,'방법론'!$A$7:$A$39,0))</x:f>
        <x:v>1</x:v>
      </x:c>
      <x:c r="K38" s="11" t="n">
        <x:f>I38*J38</x:f>
        <x:v>1</x:v>
      </x:c>
      <x:c r="L38" s="11" t="n">
        <x:f>YEAR(E38)</x:f>
        <x:v>2020</x:v>
      </x:c>
      <x:c r="M38" s="11" t="n">
        <x:f>IF(AND(K38=1,'분석조건'!$B$5-E38&lt;'분석조건'!$B$11),1,0)</x:f>
        <x:v>0</x:v>
      </x:c>
      <x:c r="N38" s="11" t="n">
        <x:f>IF(AND(K38=1,E38&gt;=DATE('분석조건'!$B$6,1,1),E38&lt;='분석조건'!$B$14),1,0)</x:f>
        <x:v>0</x:v>
      </x:c>
      <x:c r="O38" s="11" t="n">
        <x:f>IF(AND(K38=1,E38&gt;=DATE('분석조건'!$B$6-1,1,1),E38&lt;='분석조건'!$B$15),1,0)</x:f>
        <x:v>0</x:v>
      </x:c>
    </x:row>
    <x:row r="39" ht="78" customHeight="1">
      <x:c r="A39" s="2" t="str">
        <x:v>06A-001-Ver01</x:v>
      </x:c>
      <x:c r="B39" s="2" t="str">
        <x:v>06A-001</x:v>
      </x:c>
      <x:c r="C39" s="19" t="str">
        <x:v>01</x:v>
      </x:c>
      <x:c r="D39" s="2" t="str">
        <x:v>new</x:v>
      </x:c>
      <x:c r="E39" s="9" t="n">
        <x:v>44558</x:v>
      </x:c>
      <x:c r="F39" s="16" t="str">
        <x:v>국내 중온 아스팔트 혼합물 생산을 통한 연료 및 온실가스 저감에 대한 방법론</x:v>
      </x:c>
      <x:c r="G39" s="16" t="str">
        <x:v>https://ors.gir.go.kr/home/orme010/historyRead.do?methdSeq=324&amp;menuId=12</x:v>
      </x:c>
      <x:c r="H39" s="11" t="n">
        <x:v>1</x:v>
      </x:c>
      <x:c r="I39" s="11" t="n">
        <x:f>IF(E39&lt;='분석조건'!$B$5,1,0)</x:f>
        <x:v>1</x:v>
      </x:c>
      <x:c r="J39" s="11" t="n">
        <x:f>INDEX('방법론'!$L$7:$L$39,MATCH(B39,'방법론'!$A$7:$A$39,0))</x:f>
        <x:v>1</x:v>
      </x:c>
      <x:c r="K39" s="11" t="n">
        <x:f>I39*J39</x:f>
        <x:v>1</x:v>
      </x:c>
      <x:c r="L39" s="11" t="n">
        <x:f>YEAR(E39)</x:f>
        <x:v>2021</x:v>
      </x:c>
      <x:c r="M39" s="11" t="n">
        <x:f>IF(AND(K39=1,'분석조건'!$B$5-E39&lt;'분석조건'!$B$11),1,0)</x:f>
        <x:v>0</x:v>
      </x:c>
      <x:c r="N39" s="11" t="n">
        <x:f>IF(AND(K39=1,E39&gt;=DATE('분석조건'!$B$6,1,1),E39&lt;='분석조건'!$B$14),1,0)</x:f>
        <x:v>0</x:v>
      </x:c>
      <x:c r="O39" s="11" t="n">
        <x:f>IF(AND(K39=1,E39&gt;=DATE('분석조건'!$B$6-1,1,1),E39&lt;='분석조건'!$B$15),1,0)</x:f>
        <x:v>0</x:v>
      </x:c>
    </x:row>
    <x:row r="40" ht="78" customHeight="1">
      <x:c r="A40" s="2" t="str">
        <x:v>11B-001-Ver01</x:v>
      </x:c>
      <x:c r="B40" s="2" t="str">
        <x:v>11B-001</x:v>
      </x:c>
      <x:c r="C40" s="19" t="str">
        <x:v>01</x:v>
      </x:c>
      <x:c r="D40" s="2" t="str">
        <x:v>new</x:v>
      </x:c>
      <x:c r="E40" s="9" t="n">
        <x:v>43081</x:v>
      </x:c>
      <x:c r="F40" s="16" t="str">
        <x:v>가스절연개폐장치 검사용 SF6 회수ㆍ정제 및 재사용을 통한 SF6 감축사업의 방법론</x:v>
      </x:c>
      <x:c r="G40" s="16" t="str">
        <x:v>https://ors.gir.go.kr/home/orme010/historyRead.do?methdSeq=49&amp;menuId=12</x:v>
      </x:c>
      <x:c r="H40" s="11" t="n">
        <x:v>1</x:v>
      </x:c>
      <x:c r="I40" s="11" t="n">
        <x:f>IF(E40&lt;='분석조건'!$B$5,1,0)</x:f>
        <x:v>1</x:v>
      </x:c>
      <x:c r="J40" s="11" t="n">
        <x:f>INDEX('방법론'!$L$7:$L$39,MATCH(B40,'방법론'!$A$7:$A$39,0))</x:f>
        <x:v>1</x:v>
      </x:c>
      <x:c r="K40" s="11" t="n">
        <x:f>I40*J40</x:f>
        <x:v>1</x:v>
      </x:c>
      <x:c r="L40" s="11" t="n">
        <x:f>YEAR(E40)</x:f>
        <x:v>2017</x:v>
      </x:c>
      <x:c r="M40" s="11" t="n">
        <x:f>IF(AND(K40=1,'분석조건'!$B$5-E40&lt;'분석조건'!$B$11),1,0)</x:f>
        <x:v>0</x:v>
      </x:c>
      <x:c r="N40" s="11" t="n">
        <x:f>IF(AND(K40=1,E40&gt;=DATE('분석조건'!$B$6,1,1),E40&lt;='분석조건'!$B$14),1,0)</x:f>
        <x:v>0</x:v>
      </x:c>
      <x:c r="O40" s="11" t="n">
        <x:f>IF(AND(K40=1,E40&gt;=DATE('분석조건'!$B$6-1,1,1),E40&lt;='분석조건'!$B$15),1,0)</x:f>
        <x:v>0</x:v>
      </x:c>
    </x:row>
    <x:row r="41" ht="78" customHeight="1">
      <x:c r="A41" s="2" t="str">
        <x:v>11B-002-Ver01</x:v>
      </x:c>
      <x:c r="B41" s="2" t="str">
        <x:v>11B-002</x:v>
      </x:c>
      <x:c r="C41" s="19" t="str">
        <x:v>01</x:v>
      </x:c>
      <x:c r="D41" s="2" t="str">
        <x:v>new</x:v>
      </x:c>
      <x:c r="E41" s="9" t="n">
        <x:v>44120</x:v>
      </x:c>
      <x:c r="F41" s="16" t="str">
        <x:v>광전지 제조 공정의 SF6 가스 처리를 통한 온실가스 감축 사업의 방법론</x:v>
      </x:c>
      <x:c r="G41" s="16" t="str">
        <x:v>https://ors.gir.go.kr/home/orme010/historyRead.do?methdSeq=315&amp;menuId=12</x:v>
      </x:c>
      <x:c r="H41" s="11" t="n">
        <x:v>1</x:v>
      </x:c>
      <x:c r="I41" s="11" t="n">
        <x:f>IF(E41&lt;='분석조건'!$B$5,1,0)</x:f>
        <x:v>1</x:v>
      </x:c>
      <x:c r="J41" s="11" t="n">
        <x:f>INDEX('방법론'!$L$7:$L$39,MATCH(B41,'방법론'!$A$7:$A$39,0))</x:f>
        <x:v>1</x:v>
      </x:c>
      <x:c r="K41" s="11" t="n">
        <x:f>I41*J41</x:f>
        <x:v>1</x:v>
      </x:c>
      <x:c r="L41" s="11" t="n">
        <x:f>YEAR(E41)</x:f>
        <x:v>2020</x:v>
      </x:c>
      <x:c r="M41" s="11" t="n">
        <x:f>IF(AND(K41=1,'분석조건'!$B$5-E41&lt;'분석조건'!$B$11),1,0)</x:f>
        <x:v>0</x:v>
      </x:c>
      <x:c r="N41" s="11" t="n">
        <x:f>IF(AND(K41=1,E41&gt;=DATE('분석조건'!$B$6,1,1),E41&lt;='분석조건'!$B$14),1,0)</x:f>
        <x:v>0</x:v>
      </x:c>
      <x:c r="O41" s="11" t="n">
        <x:f>IF(AND(K41=1,E41&gt;=DATE('분석조건'!$B$6-1,1,1),E41&lt;='분석조건'!$B$15),1,0)</x:f>
        <x:v>0</x:v>
      </x:c>
    </x:row>
    <x:row r="42" ht="78" customHeight="1">
      <x:c r="A42" s="2" t="str">
        <x:v>11B-003-Ver01</x:v>
      </x:c>
      <x:c r="B42" s="2" t="str">
        <x:v>11B-003</x:v>
      </x:c>
      <x:c r="C42" s="19" t="str">
        <x:v>01</x:v>
      </x:c>
      <x:c r="D42" s="2" t="str">
        <x:v>new</x:v>
      </x:c>
      <x:c r="E42" s="9" t="n">
        <x:v>44252</x:v>
      </x:c>
      <x:c r="F42" s="16" t="str">
        <x:v>발포제로 사용되는 HFC-152a 회수·정제 및 재사용을 통한 HFC-152a 감축사업의 방법론</x:v>
      </x:c>
      <x:c r="G42" s="16" t="str">
        <x:v>https://ors.gir.go.kr/home/orme010/historyRead.do?methdSeq=299&amp;menuId=12</x:v>
      </x:c>
      <x:c r="H42" s="11" t="n">
        <x:v>1</x:v>
      </x:c>
      <x:c r="I42" s="11" t="n">
        <x:f>IF(E42&lt;='분석조건'!$B$5,1,0)</x:f>
        <x:v>1</x:v>
      </x:c>
      <x:c r="J42" s="11" t="n">
        <x:f>INDEX('방법론'!$L$7:$L$39,MATCH(B42,'방법론'!$A$7:$A$39,0))</x:f>
        <x:v>1</x:v>
      </x:c>
      <x:c r="K42" s="11" t="n">
        <x:f>I42*J42</x:f>
        <x:v>1</x:v>
      </x:c>
      <x:c r="L42" s="11" t="n">
        <x:f>YEAR(E42)</x:f>
        <x:v>2021</x:v>
      </x:c>
      <x:c r="M42" s="11" t="n">
        <x:f>IF(AND(K42=1,'분석조건'!$B$5-E42&lt;'분석조건'!$B$11),1,0)</x:f>
        <x:v>0</x:v>
      </x:c>
      <x:c r="N42" s="11" t="n">
        <x:f>IF(AND(K42=1,E42&gt;=DATE('분석조건'!$B$6,1,1),E42&lt;='분석조건'!$B$14),1,0)</x:f>
        <x:v>0</x:v>
      </x:c>
      <x:c r="O42" s="11" t="n">
        <x:f>IF(AND(K42=1,E42&gt;=DATE('분석조건'!$B$6-1,1,1),E42&lt;='분석조건'!$B$15),1,0)</x:f>
        <x:v>0</x:v>
      </x:c>
    </x:row>
    <x:row r="43" ht="78" customHeight="1">
      <x:c r="A43" s="2" t="str">
        <x:v>11B-004-Ver01</x:v>
      </x:c>
      <x:c r="B43" s="2" t="str">
        <x:v>11B-004</x:v>
      </x:c>
      <x:c r="C43" s="19" t="str">
        <x:v>01</x:v>
      </x:c>
      <x:c r="D43" s="2" t="str">
        <x:v>new</x:v>
      </x:c>
      <x:c r="E43" s="9" t="n">
        <x:v>44558</x:v>
      </x:c>
      <x:c r="F43" s="16" t="str">
        <x:v>가스절연 전기기기의 시험에 따라 발생되는 육불화황(SF6) 가스의 회수 및 플라즈마 분해를 통한 온실가스 감축 사업의 방법론</x:v>
      </x:c>
      <x:c r="G43" s="16" t="str">
        <x:v>https://ors.gir.go.kr/home/orme010/historyRead.do?methdSeq=515&amp;menuId=12</x:v>
      </x:c>
      <x:c r="H43" s="11" t="n">
        <x:v>1</x:v>
      </x:c>
      <x:c r="I43" s="11" t="n">
        <x:f>IF(E43&lt;='분석조건'!$B$5,1,0)</x:f>
        <x:v>1</x:v>
      </x:c>
      <x:c r="J43" s="11" t="n">
        <x:f>INDEX('방법론'!$L$7:$L$39,MATCH(B43,'방법론'!$A$7:$A$39,0))</x:f>
        <x:v>1</x:v>
      </x:c>
      <x:c r="K43" s="11" t="n">
        <x:f>I43*J43</x:f>
        <x:v>1</x:v>
      </x:c>
      <x:c r="L43" s="11" t="n">
        <x:f>YEAR(E43)</x:f>
        <x:v>2021</x:v>
      </x:c>
      <x:c r="M43" s="11" t="n">
        <x:f>IF(AND(K43=1,'분석조건'!$B$5-E43&lt;'분석조건'!$B$11),1,0)</x:f>
        <x:v>0</x:v>
      </x:c>
      <x:c r="N43" s="11" t="n">
        <x:f>IF(AND(K43=1,E43&gt;=DATE('분석조건'!$B$6,1,1),E43&lt;='분석조건'!$B$14),1,0)</x:f>
        <x:v>0</x:v>
      </x:c>
      <x:c r="O43" s="11" t="n">
        <x:f>IF(AND(K43=1,E43&gt;=DATE('분석조건'!$B$6-1,1,1),E43&lt;='분석조건'!$B$15),1,0)</x:f>
        <x:v>0</x:v>
      </x:c>
    </x:row>
    <x:row r="44" ht="78" customHeight="1">
      <x:c r="A44" s="2" t="str">
        <x:v>11B-004-Ver02</x:v>
      </x:c>
      <x:c r="B44" s="2" t="str">
        <x:v>11B-004</x:v>
      </x:c>
      <x:c r="C44" s="19" t="str">
        <x:v>02</x:v>
      </x:c>
      <x:c r="D44" s="2" t="str">
        <x:v>revision</x:v>
      </x:c>
      <x:c r="E44" s="9" t="n">
        <x:v>46175</x:v>
      </x:c>
      <x:c r="F44" s="16" t="str">
        <x:v>가스절연 전기기기의 시험에 따라 발생되는 육불화황(SF6) 가스의 회수 및 플라즈마 분해를 통한 온실가스 감축 사업의 방법론</x:v>
      </x:c>
      <x:c r="G44" s="16" t="str">
        <x:v>https://ors.gir.go.kr/home/orme010/historyRead.do?methdSeq=515&amp;menuId=12</x:v>
      </x:c>
      <x:c r="H44" s="11" t="n">
        <x:v>2</x:v>
      </x:c>
      <x:c r="I44" s="11" t="n">
        <x:f>IF(E44&lt;='분석조건'!$B$5,1,0)</x:f>
        <x:v>1</x:v>
      </x:c>
      <x:c r="J44" s="11" t="n">
        <x:f>INDEX('방법론'!$L$7:$L$39,MATCH(B44,'방법론'!$A$7:$A$39,0))</x:f>
        <x:v>1</x:v>
      </x:c>
      <x:c r="K44" s="11" t="n">
        <x:f>I44*J44</x:f>
        <x:v>1</x:v>
      </x:c>
      <x:c r="L44" s="11" t="n">
        <x:f>YEAR(E44)</x:f>
        <x:v>2026</x:v>
      </x:c>
      <x:c r="M44" s="11" t="n">
        <x:f>IF(AND(K44=1,'분석조건'!$B$5-E44&lt;'분석조건'!$B$11),1,0)</x:f>
        <x:v>1</x:v>
      </x:c>
      <x:c r="N44" s="11" t="n">
        <x:f>IF(AND(K44=1,E44&gt;=DATE('분석조건'!$B$6,1,1),E44&lt;='분석조건'!$B$14),1,0)</x:f>
        <x:v>1</x:v>
      </x:c>
      <x:c r="O44" s="11" t="n">
        <x:f>IF(AND(K44=1,E44&gt;=DATE('분석조건'!$B$6-1,1,1),E44&lt;='분석조건'!$B$15),1,0)</x:f>
        <x:v>0</x:v>
      </x:c>
    </x:row>
    <x:row r="45" ht="78" customHeight="1">
      <x:c r="A45" s="2" t="str">
        <x:v>11B-005-Ver01</x:v>
      </x:c>
      <x:c r="B45" s="2" t="str">
        <x:v>11B-005</x:v>
      </x:c>
      <x:c r="C45" s="19" t="str">
        <x:v>01</x:v>
      </x:c>
      <x:c r="D45" s="2" t="str">
        <x:v>new</x:v>
      </x:c>
      <x:c r="E45" s="9" t="n">
        <x:v>44992</x:v>
      </x:c>
      <x:c r="F45" s="16" t="str">
        <x:v>전력계통내 폐기된 전기설비의 충진된 SF6를 회수 및 정제하는 사업의 방법론</x:v>
      </x:c>
      <x:c r="G45" s="16" t="str">
        <x:v>https://ors.gir.go.kr/home/orme010/historyRead.do?methdSeq=383&amp;menuId=12</x:v>
      </x:c>
      <x:c r="H45" s="11" t="n">
        <x:v>1</x:v>
      </x:c>
      <x:c r="I45" s="11" t="n">
        <x:f>IF(E45&lt;='분석조건'!$B$5,1,0)</x:f>
        <x:v>1</x:v>
      </x:c>
      <x:c r="J45" s="11" t="n">
        <x:f>INDEX('방법론'!$L$7:$L$39,MATCH(B45,'방법론'!$A$7:$A$39,0))</x:f>
        <x:v>1</x:v>
      </x:c>
      <x:c r="K45" s="11" t="n">
        <x:f>I45*J45</x:f>
        <x:v>1</x:v>
      </x:c>
      <x:c r="L45" s="11" t="n">
        <x:f>YEAR(E45)</x:f>
        <x:v>2023</x:v>
      </x:c>
      <x:c r="M45" s="11" t="n">
        <x:f>IF(AND(K45=1,'분석조건'!$B$5-E45&lt;'분석조건'!$B$11),1,0)</x:f>
        <x:v>0</x:v>
      </x:c>
      <x:c r="N45" s="11" t="n">
        <x:f>IF(AND(K45=1,E45&gt;=DATE('분석조건'!$B$6,1,1),E45&lt;='분석조건'!$B$14),1,0)</x:f>
        <x:v>0</x:v>
      </x:c>
      <x:c r="O45" s="11" t="n">
        <x:f>IF(AND(K45=1,E45&gt;=DATE('분석조건'!$B$6-1,1,1),E45&lt;='분석조건'!$B$15),1,0)</x:f>
        <x:v>0</x:v>
      </x:c>
    </x:row>
    <x:row r="46" ht="78" customHeight="1">
      <x:c r="A46" s="2" t="str">
        <x:v>11B-006-Ver01</x:v>
      </x:c>
      <x:c r="B46" s="2" t="str">
        <x:v>11B-006</x:v>
      </x:c>
      <x:c r="C46" s="19" t="str">
        <x:v>01</x:v>
      </x:c>
      <x:c r="D46" s="2" t="str">
        <x:v>new</x:v>
      </x:c>
      <x:c r="E46" s="9" t="n">
        <x:v>44992</x:v>
      </x:c>
      <x:c r="F46" s="16" t="str">
        <x:v>반도체 제조공정의 F-Gas 감축설비 도입을 통한 온실가스 감축 사업의 방법론</x:v>
      </x:c>
      <x:c r="G46" s="16" t="str">
        <x:v>https://ors.gir.go.kr/home/orme010/historyRead.do?methdSeq=404&amp;menuId=12</x:v>
      </x:c>
      <x:c r="H46" s="11" t="n">
        <x:v>1</x:v>
      </x:c>
      <x:c r="I46" s="11" t="n">
        <x:f>IF(E46&lt;='분석조건'!$B$5,1,0)</x:f>
        <x:v>1</x:v>
      </x:c>
      <x:c r="J46" s="11" t="n">
        <x:f>INDEX('방법론'!$L$7:$L$39,MATCH(B46,'방법론'!$A$7:$A$39,0))</x:f>
        <x:v>1</x:v>
      </x:c>
      <x:c r="K46" s="11" t="n">
        <x:f>I46*J46</x:f>
        <x:v>1</x:v>
      </x:c>
      <x:c r="L46" s="11" t="n">
        <x:f>YEAR(E46)</x:f>
        <x:v>2023</x:v>
      </x:c>
      <x:c r="M46" s="11" t="n">
        <x:f>IF(AND(K46=1,'분석조건'!$B$5-E46&lt;'분석조건'!$B$11),1,0)</x:f>
        <x:v>0</x:v>
      </x:c>
      <x:c r="N46" s="11" t="n">
        <x:f>IF(AND(K46=1,E46&gt;=DATE('분석조건'!$B$6,1,1),E46&lt;='분석조건'!$B$14),1,0)</x:f>
        <x:v>0</x:v>
      </x:c>
      <x:c r="O46" s="11" t="n">
        <x:f>IF(AND(K46=1,E46&gt;=DATE('분석조건'!$B$6-1,1,1),E46&lt;='분석조건'!$B$15),1,0)</x:f>
        <x:v>0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dc77aed407184ad9"/>
  </x:tableParts>
</x:worksheet>
</file>